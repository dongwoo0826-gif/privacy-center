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포트폴리오\"/>
    </mc:Choice>
  </mc:AlternateContent>
  <bookViews>
    <workbookView xWindow="0" yWindow="0" windowWidth="28800" windowHeight="12060"/>
  </bookViews>
  <sheets>
    <sheet name="점검 체크리스트" sheetId="5" r:id="rId1"/>
    <sheet name="점검 요약" sheetId="6" r:id="rId2"/>
    <sheet name="설계 요약" sheetId="10" r:id="rId3"/>
    <sheet name="버전 이력" sheetId="8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6" l="1"/>
  <c r="E12" i="6"/>
  <c r="D12" i="6"/>
  <c r="C12" i="6"/>
  <c r="G12" i="6" s="1"/>
  <c r="F11" i="6"/>
  <c r="E11" i="6"/>
  <c r="D11" i="6"/>
  <c r="C11" i="6"/>
  <c r="G11" i="6" s="1"/>
  <c r="F10" i="6"/>
  <c r="E10" i="6"/>
  <c r="D10" i="6"/>
  <c r="C10" i="6"/>
  <c r="G10" i="6" s="1"/>
  <c r="F9" i="6"/>
  <c r="E9" i="6"/>
  <c r="D9" i="6"/>
  <c r="C9" i="6"/>
  <c r="G9" i="6" s="1"/>
  <c r="F8" i="6"/>
  <c r="E8" i="6"/>
  <c r="D8" i="6"/>
  <c r="C8" i="6"/>
  <c r="G8" i="6" s="1"/>
  <c r="F7" i="6"/>
  <c r="E7" i="6"/>
  <c r="D7" i="6"/>
  <c r="C7" i="6"/>
  <c r="G7" i="6" s="1"/>
  <c r="F6" i="6"/>
  <c r="E6" i="6"/>
  <c r="D6" i="6"/>
  <c r="C6" i="6"/>
  <c r="G6" i="6" s="1"/>
  <c r="E13" i="6" l="1"/>
  <c r="D13" i="6"/>
  <c r="C13" i="6"/>
  <c r="F13" i="6" l="1"/>
  <c r="G13" i="6"/>
</calcChain>
</file>

<file path=xl/comments1.xml><?xml version="1.0" encoding="utf-8"?>
<comments xmlns="http://schemas.openxmlformats.org/spreadsheetml/2006/main">
  <authors>
    <author>user</author>
  </authors>
  <commentList>
    <comment ref="A2" authorId="0" shapeId="0">
      <text>
        <r>
          <rPr>
            <sz val="9"/>
            <color indexed="81"/>
            <rFont val="Tahoma"/>
            <family val="2"/>
          </rPr>
          <t xml:space="preserve">Major(+v1.00) : </t>
        </r>
        <r>
          <rPr>
            <sz val="9"/>
            <color indexed="81"/>
            <rFont val="돋움"/>
            <family val="3"/>
            <charset val="129"/>
          </rPr>
          <t>체크리스트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Minor(+v0.10) : </t>
        </r>
        <r>
          <rPr>
            <sz val="9"/>
            <color indexed="81"/>
            <rFont val="돋움"/>
            <family val="3"/>
            <charset val="129"/>
          </rPr>
          <t>항목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 
Patch(+V0.01) : </t>
        </r>
        <r>
          <rPr>
            <sz val="9"/>
            <color indexed="81"/>
            <rFont val="돋움"/>
            <family val="3"/>
            <charset val="129"/>
          </rPr>
          <t>오탈자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표현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</commentList>
</comments>
</file>

<file path=xl/sharedStrings.xml><?xml version="1.0" encoding="utf-8"?>
<sst xmlns="http://schemas.openxmlformats.org/spreadsheetml/2006/main" count="242" uniqueCount="218">
  <si>
    <t>질의문</t>
  </si>
  <si>
    <t>가이드</t>
  </si>
  <si>
    <t>필요 증빙</t>
  </si>
  <si>
    <t>AI 학습 데이터
보관·파기 정책</t>
  </si>
  <si>
    <t>접근 권한 관리</t>
  </si>
  <si>
    <t>접근 통제</t>
  </si>
  <si>
    <t>API 인증정보 관리</t>
  </si>
  <si>
    <t>이용자가 입력한 프롬프트를 AI 학습에 재활용하는 경우, 이를 명확하게 고지하고 거부할 수 있는 기능을 제공하고 있습니까?</t>
  </si>
  <si>
    <t>AI 모델, 학습 데이터(개인정보 포함) 및 연계 시스템에 대한 접근 시 기술적·환경적 접근 통제를 적용하고 있습니까?</t>
  </si>
  <si>
    <t>생성형 AI를 통해 만들어진 결과물에 대해 이용자가 가상정보임을 인지할 수 있도록 식별 조치(워터마크 등)를 적용하고 있습니까?</t>
  </si>
  <si>
    <t>1. AI 결과물 식별 표시 예시
2. 워터마크 적용 기술 명세</t>
  </si>
  <si>
    <t>AI 활용 시스템 점검 체크리스트</t>
  </si>
  <si>
    <t>점검항목</t>
  </si>
  <si>
    <t>AI-01</t>
    <phoneticPr fontId="1" type="noConversion"/>
  </si>
  <si>
    <t>AI-02</t>
  </si>
  <si>
    <t>AI-03</t>
  </si>
  <si>
    <t>AI-04</t>
  </si>
  <si>
    <t>AI-05</t>
  </si>
  <si>
    <t>AI-06</t>
  </si>
  <si>
    <t>AI-07</t>
  </si>
  <si>
    <t>AI-08</t>
  </si>
  <si>
    <t>AI-09</t>
  </si>
  <si>
    <t>AI-10</t>
  </si>
  <si>
    <t>AI-11</t>
  </si>
  <si>
    <t>AI-12</t>
  </si>
  <si>
    <t>AI-13</t>
  </si>
  <si>
    <t>AI-14</t>
  </si>
  <si>
    <t>AI-15</t>
  </si>
  <si>
    <t>AI-16</t>
  </si>
  <si>
    <t>분류</t>
    <phoneticPr fontId="1" type="noConversion"/>
  </si>
  <si>
    <t>수집</t>
    <phoneticPr fontId="1" type="noConversion"/>
  </si>
  <si>
    <t>AI 학습·개발 및 운영을 위해 개인정보를 수집·이용하는 경우, 명확한 목적이 정의되어 있으며 이에 따른 적법 요건을 확인하고 준수하고 있습니까?</t>
  </si>
  <si>
    <t>① 생성형 AI 서비스를 제공하는 경우, 예견 가능한 오용을 식별하고 허용되는 이용방침(AUP)을 작성하여 공개하여야 한다.
  ▶ e.g. 딥페이크 성범죄, 딥보이스 사기, 신원 도용 또는 위조, 불법 콘텐츠 생성 등
② 서비스 제공자의 AUP를 검토하여 입력 데이터의 학습 이용 여부, 데이터 보존 기간, 제3자 제공 조건 등 주요 처리 조건을 사전에 확인하여야 한다.</t>
  </si>
  <si>
    <t>AI 서비스 이용 시 개인정보가 국외 서버로 이전되는 경우, 적법한 국외 이전 근거가 확보되어 있습니까?</t>
  </si>
  <si>
    <t>AI 시스템에서 처리하는 개인정보 현황(처리 항목·목적·보존기간 등)이 개인정보 처리방침에 공개되어 있습니까?</t>
  </si>
  <si>
    <t>① AI 서비스 운영 과정에서 처리하는 개인정보 항목·목적·보존기간이 처리방침에 명시되어 있는지 확인하여야 한다.
  ▶ 자동화된 처리, 프로파일링, AI 학습 활용 여부 등 포함
② 처리방침은 AI 서비스 변경 시 즉시 업데이트되어야 하며, 위탁 현황(AI 서비스 제공자 포함)도 공개되어야 한다.</t>
  </si>
  <si>
    <t>① 이미지, 영상, 텍스트 등에 AI 생성물임을 나타내는 워터마크 또는 문구를 삽입하여야 한다.
② 메타데이터에 AI 생성 정보(Origin)를 포함하여 기술적 투명성을 확보하여야 한다.</t>
  </si>
  <si>
    <t>외부 AI API 호출을 위한 인증 정보(API Key, Token 등)를 안전하게 발급·보관·접근 통제·갱신하고 있습니까?</t>
  </si>
  <si>
    <t>① 인증 정보(API Key, Token 등)를 안전하게 관리하여야 한다.
  ▶ 소스코드 하드 코딩 금지, 환경 변수 또는 Secret Manager 등을 통해 관리
  ▶ 서비스 계정 단위로 발급하여 용도별 구분 관리
② 필요한 인원만 접근 가능하여야 하며, 퇴사·권한 변경 시 즉시 회수되어야 한다.
③ 인증 정보는 주기적으로 변경·갱신되어야 하며, 필요 시 즉시 폐기·재발급이 가능하여야 한다.</t>
  </si>
  <si>
    <t>API 호출, 입력/출력 결과를 로그로 기록하고, 정기적으로 점검하여 이상 여부를 검토하고 있습니까?</t>
  </si>
  <si>
    <t>1. 로그(접속기록, API 호출 로그 등)
2. 정기 모니터링 계획 및 점검 이력</t>
  </si>
  <si>
    <t>1. 보안 공지 확인 이력
2. 업데이트 적용 기록
3. 취약점 조치 이력</t>
  </si>
  <si>
    <t>적법한 처리 근거</t>
  </si>
  <si>
    <t>학습 데이터 관리
(개인정보 최소화)</t>
  </si>
  <si>
    <t>처리위탁 계약</t>
  </si>
  <si>
    <t>이용방침(AUP) 검토</t>
  </si>
  <si>
    <t>국외 이전 적법 요건</t>
  </si>
  <si>
    <t>AI 생성 콘텐츠
식별 조치 적용</t>
  </si>
  <si>
    <t>로그 수집 및
정기 점검</t>
  </si>
  <si>
    <t>보안 패치·
업데이트 관리</t>
  </si>
  <si>
    <t>1. 수집 출처별 적법 근거 목록
2. 개인정보 수집·이용 동의서</t>
    <phoneticPr fontId="1" type="noConversion"/>
  </si>
  <si>
    <t>① 수집 출처별로 적법 근거를 보유하여야 한다.
  ▶ 정보주체의 동의, 목적에 부합한 가명정보 처리 등
  ▶ 학습 데이터의 수집 출처·이력을 별도 관리
② 정보주체 동의를 근거로 처리하는 경우, AI 학습·개발에 이용된다는 사실을 명확히 고지하고 동의를 받아야 한다.</t>
    <phoneticPr fontId="1" type="noConversion"/>
  </si>
  <si>
    <t>인터넷 등 공개된 공간에서 데이터를 수집(스크래핑 등)할 때, 민감정보나 불법 정보가 포함되지 않도록 조치하고 있습니까?</t>
    <phoneticPr fontId="1" type="noConversion"/>
  </si>
  <si>
    <t>공개 데이터 수집 시
필터링 및 적정성 검토</t>
    <phoneticPr fontId="1" type="noConversion"/>
  </si>
  <si>
    <t>AI-17</t>
  </si>
  <si>
    <t>1. 데이터 수집 리스트 및 수집 출처
2. 개인정보 필터링 로직(e.g. Regex)
3. 필터링 검증 결과서(정확도 샘플링)</t>
    <phoneticPr fontId="1" type="noConversion"/>
  </si>
  <si>
    <t>1. 개인정보 필터링 로직
2. 데이터 변환 전·후 샘플
3. 프롬프트 입력 가이드라인</t>
    <phoneticPr fontId="1" type="noConversion"/>
  </si>
  <si>
    <t>프롬프트
학습 거부권
(opt-out)</t>
    <phoneticPr fontId="1" type="noConversion"/>
  </si>
  <si>
    <t>이용 중인 AI 서비스(API, 오픈소스 라이브러리 등)의 보안 취약점 및 업데이트 현황을 주기적으로 점검하고 있습니까?</t>
    <phoneticPr fontId="1" type="noConversion"/>
  </si>
  <si>
    <t>로그
관리</t>
    <phoneticPr fontId="1" type="noConversion"/>
  </si>
  <si>
    <t>① AI 서비스 운영 과정에서 발생하는 주요 이벤트에 대해 로그를 수집·관리하여야 한다.
  ▶ API 호출 로그, 입·출력 요청 로그, 접속 로그 포함
② 로그 수집 범위를 적절히 설정하여야 한다.
  ▶ 필요한 요청 정보(요청 ID, 타임스탬프, 처리 결과 등) 위주로 기록
  ▶ 불필요한 개인정보는 로그에서 제거
③ 로그는 안전한 저장소에 보관하고 무단 접근·변조를 방지하여야 한다.
  ▶ 로그 접근 권한을 최소화하고 접근 이력을 관리
④ 로그에 대한 정기적인 모니터링 및 점검 절차를 수립·운영하여야 한다.
  ▶ API 비정상 호출, 대량 요청, 비정상 출력, 업무 시간 외 접근 등 보안 위협 탐지</t>
    <phoneticPr fontId="1" type="noConversion"/>
  </si>
  <si>
    <t>1. TLS 버전 확인 결과</t>
    <phoneticPr fontId="1" type="noConversion"/>
  </si>
  <si>
    <t>암호화</t>
    <phoneticPr fontId="1" type="noConversion"/>
  </si>
  <si>
    <t>전송구간 암호화</t>
    <phoneticPr fontId="1" type="noConversion"/>
  </si>
  <si>
    <t>AI 서비스와의 API 통신 구간에 암호화(TLS 1.2 이상)가 적용되어 있습니까?</t>
    <phoneticPr fontId="1" type="noConversion"/>
  </si>
  <si>
    <t xml:space="preserve">① 외부 AI API와의 통신 구간에 개인정보·민감정보가 평문으로 노출되지 않도록 TLS 1.2 이상의 암호화가 적용되어야 한다. </t>
    <phoneticPr fontId="1" type="noConversion"/>
  </si>
  <si>
    <t>1. API Key 관리·발급 정책
2. Secret Manager/환경 변수 관리 화면
3. 접근 권한 설정 내역
4. API Key 변경·로테이션 설정</t>
    <phoneticPr fontId="1" type="noConversion"/>
  </si>
  <si>
    <t>1. IP 접근 통제 내역
(방화벽/보안그룹/IP Allowlist 등)
 - 학습 데이터 저장소, 벡터DB, 모델 관리 콘솔 등)</t>
    <phoneticPr fontId="1" type="noConversion"/>
  </si>
  <si>
    <t>① AI 모델 및 데이터 처리 과정에 기술적 접근 통제를 적용하여야 한다.
  ▶ 네트워크 접근 제한(사내망, VPN 등)
  ▶ 필요 시, 시간·위치·단말 조건 등에 따른 추가적인 접근 통제 수단 고려
② 학습 데이터에 대해 강화된 접근 통제를 적용하여야 한다.
  ▶ 업무상 필요한 경우에만 접근을 허용</t>
    <phoneticPr fontId="1" type="noConversion"/>
  </si>
  <si>
    <t>1. 접근 권한 리스트
  (학습 데이터 저장소, 벡터DB, 모델 관리 콘솔, 로그 저장소 등)
2. 접근 권한 부여·변경·말소 이력
  (승인 포함)</t>
    <phoneticPr fontId="1" type="noConversion"/>
  </si>
  <si>
    <t>개인정보 처리방침 공개</t>
    <phoneticPr fontId="1" type="noConversion"/>
  </si>
  <si>
    <t>1. 처리방침 AI 관련 항목 화면</t>
    <phoneticPr fontId="1" type="noConversion"/>
  </si>
  <si>
    <t>AI 학습 데이터의 보유기간을 정하고, 보유기간이 경과하거나 처리 목적 달성 등으로 불필요하게 되었을 때에는 지체 없이 파기하도록 계획하고 있습니까?</t>
    <phoneticPr fontId="1" type="noConversion"/>
  </si>
  <si>
    <t>1. 학습 데이터 보관 정책
2. 학습 데이터 파기 로직</t>
    <phoneticPr fontId="1" type="noConversion"/>
  </si>
  <si>
    <t>① AI API 서버 소재지를 확인하고 국외 이전 해당 여부를 검토하여야 한다.
  ▶ CDN 경유, 클라우드 리전 등 간접적인 국외 이전 경로도 포함하여 확인
② 국외 이전이 발생하는 경우 아래 중 하나의 적법 근거를 확보하여야 한다.
  ▶ 표준 계약 체결, 정보주체 개별 동의 등
③ 국외 이전 현황을 개인정보 처리방침에 공개하여야 한다.</t>
    <phoneticPr fontId="1" type="noConversion"/>
  </si>
  <si>
    <t>1. (필요시) 정보주체 동의
2. 처리방침 국외 이전 항목 화면</t>
    <phoneticPr fontId="1" type="noConversion"/>
  </si>
  <si>
    <t>생성형 AI 서비스를 제공하는 경우, 허용되는 이용방침(Acceptable Use Policy)을 공개하도록 계획하고 있습니까?</t>
    <phoneticPr fontId="1" type="noConversion"/>
  </si>
  <si>
    <t>1. AUP 내용 및 게시 수단</t>
    <phoneticPr fontId="1" type="noConversion"/>
  </si>
  <si>
    <t>AI 서비스 제공자와 개인정보 처리위탁 계약, DPA가 체결되어 있습니까?</t>
    <phoneticPr fontId="1" type="noConversion"/>
  </si>
  <si>
    <t>① AI 서비스 도입 시 개인정보 처리를 수반하는 경우, 서비스 제공자와 개인정보처리위탁에 따른 계약을 반드시 체결하여야 한다.
② 수탁사 목록을 개인정보 처리방침에 공개하고 최신화하여야 한다.</t>
    <phoneticPr fontId="1" type="noConversion"/>
  </si>
  <si>
    <t>1. 처리위탁 계약서, DPA
2. 수탁사 목록</t>
    <phoneticPr fontId="1" type="noConversion"/>
  </si>
  <si>
    <t>1. AI 서비스 opt-out 설정 화면
2. 학습 활용 고지 문구
   (개인정보 수집·이용 동의서)
3. 또는 학습 이용 금지 계약 조항</t>
    <phoneticPr fontId="1" type="noConversion"/>
  </si>
  <si>
    <t>이용</t>
    <phoneticPr fontId="1" type="noConversion"/>
  </si>
  <si>
    <t>보관
·파기</t>
    <phoneticPr fontId="1" type="noConversion"/>
  </si>
  <si>
    <t>운영
관리</t>
    <phoneticPr fontId="1" type="noConversion"/>
  </si>
  <si>
    <t>권한
관리</t>
    <phoneticPr fontId="1" type="noConversion"/>
  </si>
  <si>
    <t>접근
통제</t>
    <phoneticPr fontId="1" type="noConversion"/>
  </si>
  <si>
    <t>점검
코드</t>
    <phoneticPr fontId="1" type="noConversion"/>
  </si>
  <si>
    <t>AI 학습에 활용하는 개인정보에 대해 익명처리·가명처리 등을 우선 적용하고, 불가피하게 원본을 활용하는 경우 최소 범위로 처리하고 있습니까?</t>
    <phoneticPr fontId="1" type="noConversion"/>
  </si>
  <si>
    <t>보안
패치</t>
    <phoneticPr fontId="1" type="noConversion"/>
  </si>
  <si>
    <t>① AI 학습 데이터의 처리 목적을 고려하여 합리적인 수준으로 보유기간을 정하여야 한다.
  ▶ AI 학습 종료 시점을 기준으로 정하는 것이 타당하나, 성능 검증 및 재학습 등이 필요한 경우 해당 목적 달성에 필요한 기간까지 산정 가능
  ▶ 보유기간 종료 후 지체 없이(5영업일 이내) 파기
② 다른 법령에서 일정 기간 보관을 의무화하는 경우, 다른 개인정보와 분리하여 보관하여야 한다.</t>
    <phoneticPr fontId="1" type="noConversion"/>
  </si>
  <si>
    <t>① 공개된 개인정보를 수집하여 AI 학습 목적으로 활용하는 경우, 아래 정보가 수집되지 않도록 조치하여야 한다.
  ▶ 민감정보, 고유식별정보, 14세 미만 아동의 개인정보, 불법 유통 개인정보
  ▶ 딥웹, 다크웹 등으로부터의 학습 데이터 수집 금지 및 robots.txt 준수
② 개인정보 필터링 조치를 적용하여야 하며, 제외 대상이 누락되지 않도록 필터링 방법의 신뢰성을 확보하여야 한다.</t>
    <phoneticPr fontId="1" type="noConversion"/>
  </si>
  <si>
    <t>① 적법한 근거로 수집된 개인정보는 학습에 활용할 수 있으나, 목적 달성에 필요한 최소 범위로 처리하여야 하며 익명처리·가명처리가 가능한 경우 이를 우선 적용하여야 한다.
  ▶ 정규표현식 등을 통해 개인정보를 탐지하여 삭제·치환·마스킹 처리
  ▶ 데이터셋 내 불필요한 개인정보 제거 후 학습
② 원본 개인정보를 학습에 활용하는 경우, 수집 시 고지한 목적 범위 내에서만 처리하여야 한다.
③ AI 서비스에 입력되는 프롬프트 내 개인정보를 최소화하기 위한 운영 지침을 마련하여야 한다.</t>
    <phoneticPr fontId="1" type="noConversion"/>
  </si>
  <si>
    <t>① 입력 프롬프트(개인정보 포함)를 AI 학습에 활용하는 경우, 관련 사항을 명확히 알리고 동의를 받아야 하며, 사후 거부권을 쉽게 행사할 수 있도록 하여야 한다.
  ▶ 정보주체가 쉽게 인지할 수 있는 공간에 학습 활용 사실을 고지
  ▶ 설정 메뉴에서 '학습 활용 금지' 옵션을 제공하고, 거부 시 즉각 반영
② 서비스 제공자가 opt-out을 제공하지 않는 경우, 계약 조항으로 학습 이용 금지를 명시하는 방법으로 대체 가능하다.</t>
    <phoneticPr fontId="1" type="noConversion"/>
  </si>
  <si>
    <t>① AI 모델 및 관련 데이터에 대한 접근 권한은 업무상 필요한 최소 인원에게만 부여하여야 한다.
  ▶ 역할(RBAC), 정책(PBAC)에 따라 데이터 접근 권한을 제한
  ▶ RAG 구조 운영 시 벡터 임베딩 데이터도 원본 재현 가능성을 고려하여 개인정보와 동일 수준으로 접근 관리
② 접근 권한의 부여·변경·말소는 책임자의 사전 승인 절차를 거쳐야 하며, 퇴사·직무 변경 시 즉시 회수되어야 한다.
③ 권한 부여 이력은 기록·관리되어야 하며, 정기적으로 적정성 점검을 수행하여야 한다.</t>
    <phoneticPr fontId="1" type="noConversion"/>
  </si>
  <si>
    <t>AI 서비스 운영 과정에서 모델, 학습 데이터, 연계 데이터(RAG) 등에 대한 접근 권한을 최소한으로 부여·관리하고 있습니까?</t>
    <phoneticPr fontId="1" type="noConversion"/>
  </si>
  <si>
    <t>AI 출력물 내 개인정보 유·노출 또는 부적절한 콘텐츠 생성에 대한 신고·삭제 처리 체계가 등 정보주체 권리보장 방안을 계획하고 있습니까?</t>
    <phoneticPr fontId="1" type="noConversion"/>
  </si>
  <si>
    <t>정보주체 권리보장</t>
    <phoneticPr fontId="1" type="noConversion"/>
  </si>
  <si>
    <t>1. 서비스 내 신고 기능(권리 행사)
2. 정보주체 권리보장 프로세스</t>
    <phoneticPr fontId="1" type="noConversion"/>
  </si>
  <si>
    <t>취약점
점검</t>
    <phoneticPr fontId="1" type="noConversion"/>
  </si>
  <si>
    <t>AI 취약점 점검</t>
    <phoneticPr fontId="1" type="noConversion"/>
  </si>
  <si>
    <t>AI 취약점 공격에 의한 개인정보 유ㆍ노출 등 위험을 최소화하기 위한 대책을 계획하고 있습니까?</t>
    <phoneticPr fontId="1" type="noConversion"/>
  </si>
  <si>
    <t>1. 취약점 점검 이력</t>
    <phoneticPr fontId="1" type="noConversion"/>
  </si>
  <si>
    <t>점검
결과
(작성란)</t>
    <phoneticPr fontId="1" type="noConversion"/>
  </si>
  <si>
    <t>비고
(작성란)</t>
    <phoneticPr fontId="1" type="noConversion"/>
  </si>
  <si>
    <t>AI-19</t>
  </si>
  <si>
    <t>고영향 AI
해당 여부 검토</t>
  </si>
  <si>
    <t>1. 고영향 AI 해당 여부 검토 결과서
2. 사업자 준수사항 이행 현황</t>
    <phoneticPr fontId="1" type="noConversion"/>
  </si>
  <si>
    <t>법적 근거</t>
    <phoneticPr fontId="1" type="noConversion"/>
  </si>
  <si>
    <t>【개인정보 보호법】
제15조(개인정보의 수집·이용)
제23조(민감정보의 처리 제한)
제24조(고유식별정보의 처리 제한)
제28조의2(가명정보의 처리 등)</t>
  </si>
  <si>
    <t>【개인정보 보호법】
제15조 제1항 제6호(개인정보의 수집·이용)
제23조(민감정보의 처리 제한)
제24조(고유식별정보의 처리 제한)</t>
  </si>
  <si>
    <t>【개인정보 보호법】
제3조(개인정보 보호 원칙)
제16조(개인정보의 수집 제한)
제28조의2(가명정보의 처리 등)</t>
  </si>
  <si>
    <t>【개인정보 보호법】
제4조(정보주체의 권리)
제15조 제3항(개인정보의 수집·이용)
제37조(개인정보의 처리정지 등)</t>
  </si>
  <si>
    <t>【개인정보 보호법】
제26조(업무위탁에 따른 개인정보의 처리 제한)</t>
  </si>
  <si>
    <t>【개인정보 보호법】
제28조의8(개인정보의 국외 이전)</t>
  </si>
  <si>
    <t>【개인정보 보호법】
제21조(개인정보의 파기)</t>
  </si>
  <si>
    <t>【개인정보 보호법】
제30조(개인정보 처리방침의 수립 및 공개)</t>
  </si>
  <si>
    <t>【개인정보 보호법】
제29조(안전조치의무)
【안전성 확보조치 기준】
제5조(접근 권한의 관리)</t>
  </si>
  <si>
    <t>【개인정보 보호법】
제29조(안전조치의무)
【안전성 확보조치 기준】
제6조(접근통제)</t>
  </si>
  <si>
    <t>【개인정보 보호법】
제29조(안전조치의무)
【안전성 확보조치 기준】
제5조(접근 권한의 관리)
제6조(접근통제)</t>
  </si>
  <si>
    <t>【개인정보 보호법】
제29조(안전조치의무)
【안전성 확보조치 기준】
제7조(개인정보의 암호화)</t>
  </si>
  <si>
    <t>【개인정보 보호법】
제29조(안전조치의무)
【안전성 확보조치 기준】
제9조(악성프로그램 등 방지)</t>
  </si>
  <si>
    <t>【개인정보 보호법】
제35조(개인정보의 열람)
제36조(개인정보의 정정·삭제)
제37조(개인정보의 처리정지 등)
제38조(권리행사의 방법 및 절차)</t>
    <phoneticPr fontId="1" type="noConversion"/>
  </si>
  <si>
    <t>【인공지능기본법】
제32조(인공지능 안전성 확보 의무)
【개인정보 보호법】
제29조(안전조치의무)
【안전성 확보조치 기준】
제8조(접속기록의 보관 및 점검)</t>
    <phoneticPr fontId="1" type="noConversion"/>
  </si>
  <si>
    <t>【인공지능기본법】
제32조(인공지능 안전성 확보 의무)
【개인정보 보호법】
제29조(안전조치의무)</t>
    <phoneticPr fontId="1" type="noConversion"/>
  </si>
  <si>
    <t>【인공지능기본법】
제33조(고영향 인공지능의 확인)
제34조(고영향 인공지능과 관련한 사업자의 책무)</t>
    <phoneticPr fontId="1" type="noConversion"/>
  </si>
  <si>
    <t>【인공지능기본법】
제31조 제2항(인공지능 투명성 확보 의무)</t>
    <phoneticPr fontId="1" type="noConversion"/>
  </si>
  <si>
    <t>** 권고 **
【인공지능기본법】
제31조(인공지능 투명성 확보 의무)</t>
    <phoneticPr fontId="1" type="noConversion"/>
  </si>
  <si>
    <t>AI-18</t>
  </si>
  <si>
    <t>① AI 서비스 제공자의 보안 공지·패치 이력을 정기적으로 확인하는 절차를 수립하여야 한다.
  ▶ 오픈소스 라이브러리, AI 프레임워크(e.g. LangChain, Hugging Face 등) 의존성 취약점 포함
② 취약점 발견 시 업데이트 적용 또는 서비스 사용 중단 등 즉각적인 조치 절차가 마련되어야 한다.
③ 보안 패치 적용 전 스테이징 환경에서 테스트를 수행하고, 운영 환경 적용 이력을 기록하여야 한다.</t>
    <phoneticPr fontId="1" type="noConversion"/>
  </si>
  <si>
    <t>운영 중인 AI 시스템이 인공지능기본법 상 고영향 인공지능에 해당하는지 정기적으로 검토하고 있습니까?</t>
    <phoneticPr fontId="1" type="noConversion"/>
  </si>
  <si>
    <t>① 과기정통부의 고영향 인공지능 지정 기준 및 고시 변경사항을 주기적으로 확인하여야 한다.
  ▶ 의료·교통·교육·금융 등 특정 영역 및 기본권에 중대한 영향을 미치는지 내부 검토
  ▶ 고시 변경 시 즉시 해당 여부를 재검토할 수 있는 절차 마련
② 고영향 AI 해당이 의심되는 경우, 법무·컴플라이언스 검토 또는 과기정통부 확인 요청을 수행하여야 한다.
③ 고영향 AI로 확인된 경우, 인공지능기본법 제34조에 따른 사업자 준수사항을 이행하여야 한다.</t>
    <phoneticPr fontId="1" type="noConversion"/>
  </si>
  <si>
    <t>① AI 시스템의 유형, 특성, 용례, 구성방식 등을 고려하여 AI 취약점 공격에 의한 개인정보 유·노출 위험을 식별하여야 한다.
② 식별된 위험에 대해 필요 시 취약점 점검을 수행하고 적절한 보안대책을 마련하여야 한다.
  ▶ OWASP "LLM 애플리케이션을 위한 Top 10 취약점" 등 관련 기관 발표 자료 참고 가능</t>
    <phoneticPr fontId="1" type="noConversion"/>
  </si>
  <si>
    <t>① AI 시스템의 부적절한 답변, 개인정보 유·노출 등에 대한 신고 기능을 갖추어야 한다.
  ▶ 이용자가 신고할 수 있는 채널(CS, 앱 내 기능 등) 운영
② 신고 접수 후 처리 절차(검토 → 삭제 → 통지)를 문서화하고 이행 여부를 관리하여야 한다.</t>
    <phoneticPr fontId="1" type="noConversion"/>
  </si>
  <si>
    <t>AI 활용 시스템 점검 결과 요약</t>
  </si>
  <si>
    <t>시스템명</t>
  </si>
  <si>
    <t>점검일</t>
  </si>
  <si>
    <t>점검 담당자</t>
  </si>
  <si>
    <t>분류</t>
  </si>
  <si>
    <t>이행</t>
  </si>
  <si>
    <t>해당없음</t>
  </si>
  <si>
    <t>이행률</t>
  </si>
  <si>
    <t>비고</t>
  </si>
  <si>
    <t>수집</t>
  </si>
  <si>
    <t>AI-01~03</t>
  </si>
  <si>
    <t>이용</t>
  </si>
  <si>
    <t>AI-04~07</t>
  </si>
  <si>
    <t>보관·파기</t>
  </si>
  <si>
    <t>운영관리</t>
  </si>
  <si>
    <t>AI-09~12</t>
  </si>
  <si>
    <t>권한관리/접근통제</t>
  </si>
  <si>
    <t>AI-13~15</t>
  </si>
  <si>
    <t>암호화/로그관리</t>
  </si>
  <si>
    <t>AI-16~17</t>
  </si>
  <si>
    <t>AI-18~19</t>
  </si>
  <si>
    <t>합계</t>
  </si>
  <si>
    <t>부분이행</t>
    <phoneticPr fontId="1" type="noConversion"/>
  </si>
  <si>
    <t>미이행</t>
    <phoneticPr fontId="1" type="noConversion"/>
  </si>
  <si>
    <t>보안패치/취약점점검</t>
    <phoneticPr fontId="1" type="noConversion"/>
  </si>
  <si>
    <t>전체 19개 항목</t>
    <phoneticPr fontId="1" type="noConversion"/>
  </si>
  <si>
    <t>이동우</t>
  </si>
  <si>
    <t>작성자</t>
  </si>
  <si>
    <t>작성일</t>
  </si>
  <si>
    <t>버전</t>
  </si>
  <si>
    <t>AI 활용 시스템 점검 체크리스트 - 이력</t>
    <phoneticPr fontId="1" type="noConversion"/>
  </si>
  <si>
    <t>항목 수</t>
    <phoneticPr fontId="1" type="noConversion"/>
  </si>
  <si>
    <t>참고</t>
    <phoneticPr fontId="1" type="noConversion"/>
  </si>
  <si>
    <t>비고</t>
    <phoneticPr fontId="1" type="noConversion"/>
  </si>
  <si>
    <t>특이사항 기재</t>
    <phoneticPr fontId="1" type="noConversion"/>
  </si>
  <si>
    <t>v1.00</t>
    <phoneticPr fontId="1" type="noConversion"/>
  </si>
  <si>
    <t>변경 내용</t>
    <phoneticPr fontId="1" type="noConversion"/>
  </si>
  <si>
    <t>참조 정보</t>
    <phoneticPr fontId="1" type="noConversion"/>
  </si>
  <si>
    <t>AI 체크리스트 최초 작성 (AI-01~AI-19, 19개 항목)</t>
    <phoneticPr fontId="1" type="noConversion"/>
  </si>
  <si>
    <t>- -</t>
    <phoneticPr fontId="1" type="noConversion"/>
  </si>
  <si>
    <t xml:space="preserve"> - 생성형 인공지능(AI) 개발·활용을 위한 개인정보 처리 안내서 (2025.08)
 - 개인정보 영향평가 수행안내서 (2025.10) # 질의문 코드 5.7.1~5.7.10
 - 안전한 AI·데이터 활용을 위한 AI 프라이버시 리스크 관리 모델 (2024.12)
 - 인공지능(AI) 보안 안내서 (2025.12)
 - 챗GPT등 생성형 AI 활용 보안 가이드라인 (2023.06)</t>
    <phoneticPr fontId="1" type="noConversion"/>
  </si>
  <si>
    <t>체크리스트 버전</t>
    <phoneticPr fontId="1" type="noConversion"/>
  </si>
  <si>
    <t>v1.00</t>
    <phoneticPr fontId="1" type="noConversion"/>
  </si>
  <si>
    <t>중간</t>
  </si>
  <si>
    <t>높음</t>
  </si>
  <si>
    <t>항목 코드</t>
  </si>
  <si>
    <t>관련 법규</t>
  </si>
  <si>
    <t>주요 점검 방법</t>
  </si>
  <si>
    <t>감사 중점 사항</t>
  </si>
  <si>
    <t>핵심 리스크</t>
  </si>
  <si>
    <t>항목 수</t>
  </si>
  <si>
    <t>AI 활용 시스템 감사 설계 요약</t>
  </si>
  <si>
    <t>각 감사 영역별 핵심 리스크와 감사 중점 사항을 정의하여, 리스크 기반 감사 설계의 근거로 활용</t>
    <phoneticPr fontId="1" type="noConversion"/>
  </si>
  <si>
    <t>· 수집 출처 목록 및 법적 근거 문서 검토
· 필터링 로직(Regex 등) 및 검증 결과서 확인
· 데이터 변환 전·후 샘플 비교</t>
  </si>
  <si>
    <t>개인정보보호법
§15, §23, §24, §28의2</t>
  </si>
  <si>
    <t>· 서비스 설정 화면 및 동의서 원문 확인
· 처리위탁 계약서·DPA 검토
· 처리방침 내 국외 이전 항목 확인</t>
  </si>
  <si>
    <t>개인정보보호법
§4, §15③, §26, §28의8, §37</t>
  </si>
  <si>
    <t>· 학습 데이터 보관 정책 문서 검토
· 파기 로직 및 실행 이력 확인</t>
  </si>
  <si>
    <t>개인정보보호법 §21</t>
  </si>
  <si>
    <t>· AI 처리 현황 처리방침 미공개
· AI 생성물 식별 조치 부재
· 정보주체 권리행사 채널 미비
· 고영향 AI 해당 여부 미검토</t>
  </si>
  <si>
    <t>· 처리방침 AI 관련 항목 검토
· 서비스 내 신고 기능 및 처리 이력 확인
· 고영향 AI 검토 결과서 확인</t>
  </si>
  <si>
    <t>개인정보보호법 §30, §35~38
인공지능기본법 §31, §33, §34</t>
  </si>
  <si>
    <t>· 학습 데이터·모델 과도한 접근 권한 부여
· API Key 하드코딩·미관리
· 퇴사자 권한 미회수</t>
  </si>
  <si>
    <t>· 접근 권한 리스트 및 부여·변경·말소 이력 확인
· IP 접근 통제 내역(방화벽·보안그룹) 검토
· Secret Manager 설정 및 API Key 변경 이력 확인</t>
  </si>
  <si>
    <t>개인정보보호법 §29
안전성확보조치기준 §5, §6</t>
  </si>
  <si>
    <t>· AI API 통신 구간 평문 전송
· 로그 미수집 또는 비정상 호출 탐지 미비</t>
  </si>
  <si>
    <t>· 외부 AI API 통신 구간 TLS 1.2 이상 적용 여부
· API 호출·입출력 로그 수집 및 정기 모니터링 체계</t>
  </si>
  <si>
    <t>· TLS 버전 확인 결과 검토
· 로그 샘플 및 모니터링 계획·점검 이력 확인</t>
  </si>
  <si>
    <t>개인정보보호법 §29
안전성확보조치기준 §7, §8
인공지능기본법 §32</t>
  </si>
  <si>
    <t>· 오픈소스 AI 라이브러리 취약점 미패치
· Prompt Injection 등 LLM 특화 공격 대응 미흡</t>
  </si>
  <si>
    <t>· AI 서비스·라이브러리 보안 공지 확인 및 패치 적용 절차
· OWASP LLM Top 10 기준 AI 취약점 점검 수행 여부</t>
  </si>
  <si>
    <t>· 보안 공지 확인 이력 및 업데이트 적용 기록 검토
· 취약점 점검 이력 및 조치 결과 확인</t>
  </si>
  <si>
    <t>개인정보보호법 §29
안전성확보조치기준 §9
인공지능기본법 §32</t>
  </si>
  <si>
    <t>리스크/위험도</t>
    <phoneticPr fontId="1" type="noConversion"/>
  </si>
  <si>
    <r>
      <rPr>
        <b/>
        <sz val="9"/>
        <rFont val="맑은 고딕"/>
        <family val="3"/>
        <charset val="129"/>
        <scheme val="minor"/>
      </rPr>
      <t xml:space="preserve">[판단 기준] </t>
    </r>
    <r>
      <rPr>
        <sz val="9"/>
        <rFont val="맑은 고딕"/>
        <family val="3"/>
        <charset val="129"/>
        <scheme val="minor"/>
      </rPr>
      <t xml:space="preserve">
  ① 법적 제재 해당 여부 (개인정보보호법·인공지능기본법 위반 시 과태료·과징금·형사처벌 조문 존재) 
  ② 정보주체 직접·즉각적 영향 여부 (위반 시 고객 개인정보가 즉시·실시간으로 노출·침해될 가능성)
    → 두 기준 모두 해당 + 영향이 즉각적  :  </t>
    </r>
    <r>
      <rPr>
        <b/>
        <sz val="9"/>
        <color rgb="FFFF0000"/>
        <rFont val="맑은 고딕"/>
        <family val="3"/>
        <charset val="129"/>
        <scheme val="minor"/>
      </rPr>
      <t>높음</t>
    </r>
    <r>
      <rPr>
        <sz val="9"/>
        <rFont val="맑은 고딕"/>
        <family val="3"/>
        <charset val="129"/>
        <scheme val="minor"/>
      </rPr>
      <t xml:space="preserve"> 
    → 두 기준 모두 해당 + 영향이 간접적·지연적  : </t>
    </r>
    <r>
      <rPr>
        <b/>
        <sz val="9"/>
        <rFont val="맑은 고딕"/>
        <family val="3"/>
        <charset val="129"/>
        <scheme val="minor"/>
      </rPr>
      <t xml:space="preserve"> </t>
    </r>
    <r>
      <rPr>
        <b/>
        <sz val="9"/>
        <color theme="5"/>
        <rFont val="맑은 고딕"/>
        <family val="3"/>
        <charset val="129"/>
        <scheme val="minor"/>
      </rPr>
      <t xml:space="preserve">중간 </t>
    </r>
    <phoneticPr fontId="1" type="noConversion"/>
  </si>
  <si>
    <t>· 프롬프트 학습 활용 고지 및 opt-out 기능 제공 여부
· AI 서비스 제공자와 DPA·처리위탁 계약 체결 현황
· AUP 공개 및 주요 처리 조건 사전 검토 여부
· 국외 이전 적법 근거 및 처리방침 공개 현황</t>
    <phoneticPr fontId="1" type="noConversion"/>
  </si>
  <si>
    <t>· 프롬프트 학습 재활용 미고지
· 처리위탁 계약 미체결
· 개인정보 국외 이전 적법 근거 미확보</t>
    <phoneticPr fontId="1" type="noConversion"/>
  </si>
  <si>
    <t>· 적법 근거 없는 AI 학습 데이터 수집
· 공개 데이터 내 민감정보 미필터링
· 개인정보 최소화 원칙 위반</t>
    <phoneticPr fontId="1" type="noConversion"/>
  </si>
  <si>
    <t>· 학습 데이터 보유기간 미설정
· 파기 절차 미이행 또는 지연</t>
    <phoneticPr fontId="1" type="noConversion"/>
  </si>
  <si>
    <t>· AI 학습 종료 기준에 따른 보유기간 설정 여부
· 보유기간 경과 후 5영업일 이내 파기 이행 여부</t>
    <phoneticPr fontId="1" type="noConversion"/>
  </si>
  <si>
    <t>· 처리방침 내 AI 처리 항목·목적·보존기간 명시 여부
· AI 생성물 워터마크·식별 문구 적용 현황
· 신고·삭제 처리 체계 및 권리행사 절차 문서화
· 고영향 AI 해당 여부 정기 검토 및 후속 조치</t>
    <phoneticPr fontId="1" type="noConversion"/>
  </si>
  <si>
    <t>· RBAC 기반 최소 권한 부여 및 승인 절차 이행 여부
· 네트워크 접근 통제(VPN·IP Allowlist 등) 적용 현황
· API Key·Token Secret Manager 관리 및 로테이션 주기</t>
    <phoneticPr fontId="1" type="noConversion"/>
  </si>
  <si>
    <t>· 수집 출처별 적법 근거(동의·가명처리 등) 보유 여부
· 공개 데이터 수집 시 민감정보 필터링 조치
· 학습 데이터 최소화·익명화/가명화 적용 여부</t>
    <phoneticPr fontId="1" type="noConversion"/>
  </si>
  <si>
    <t>전체 19개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</si>
</sst>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color rgb="FF1A2744"/>
      <name val="맑은 고딕"/>
      <family val="3"/>
      <charset val="129"/>
    </font>
    <font>
      <b/>
      <sz val="10"/>
      <color rgb="FF1A2744"/>
      <name val="맑은 고딕"/>
      <family val="3"/>
      <charset val="129"/>
    </font>
    <font>
      <b/>
      <sz val="10"/>
      <color rgb="FF1E4D8C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1A2744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i/>
      <u/>
      <sz val="9"/>
      <color theme="0" tint="-0.499984740745262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</font>
    <font>
      <sz val="9"/>
      <color rgb="FF222222"/>
      <name val="맑은 고딕"/>
      <family val="3"/>
      <charset val="129"/>
    </font>
    <font>
      <b/>
      <sz val="9"/>
      <color rgb="FF222222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5"/>
      <name val="맑은 고딕"/>
      <family val="3"/>
      <charset val="129"/>
      <scheme val="minor"/>
    </font>
    <font>
      <b/>
      <sz val="9"/>
      <color theme="5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FFFFFF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A2744"/>
      </patternFill>
    </fill>
    <fill>
      <patternFill patternType="solid">
        <fgColor rgb="FFFFFFFF"/>
      </patternFill>
    </fill>
    <fill>
      <patternFill patternType="solid">
        <fgColor rgb="FFD0DCEF"/>
      </patternFill>
    </fill>
    <fill>
      <patternFill patternType="solid">
        <fgColor rgb="FFF7F9F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rgb="FF1A2744"/>
      </patternFill>
    </fill>
    <fill>
      <patternFill patternType="solid">
        <fgColor theme="0" tint="-0.499984740745262"/>
        <bgColor rgb="FF3366FF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499984740745262"/>
        <bgColor rgb="FF1A274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5" fillId="0" borderId="0">
      <alignment vertical="center"/>
    </xf>
  </cellStyleXfs>
  <cellXfs count="119">
    <xf numFmtId="0" fontId="0" fillId="0" borderId="0" xfId="0">
      <alignment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12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7" fillId="12" borderId="1" xfId="0" applyFont="1" applyFill="1" applyBorder="1" applyAlignment="1">
      <alignment horizontal="center" vertical="center" wrapText="1"/>
    </xf>
    <xf numFmtId="0" fontId="17" fillId="12" borderId="10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5" fillId="15" borderId="11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15" fillId="17" borderId="11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1" fillId="14" borderId="10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 wrapText="1"/>
    </xf>
    <xf numFmtId="0" fontId="12" fillId="15" borderId="1" xfId="0" quotePrefix="1" applyFont="1" applyFill="1" applyBorder="1" applyAlignment="1">
      <alignment horizontal="left" vertical="center" wrapText="1"/>
    </xf>
    <xf numFmtId="0" fontId="18" fillId="15" borderId="1" xfId="0" quotePrefix="1" applyFont="1" applyFill="1" applyBorder="1" applyAlignment="1">
      <alignment horizontal="center" vertical="center" wrapText="1"/>
    </xf>
    <xf numFmtId="0" fontId="11" fillId="21" borderId="1" xfId="1" applyFont="1" applyFill="1" applyBorder="1" applyAlignment="1">
      <alignment horizontal="center" vertical="center" wrapText="1"/>
    </xf>
    <xf numFmtId="0" fontId="27" fillId="0" borderId="1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left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28" fillId="23" borderId="1" xfId="1" applyFont="1" applyFill="1" applyBorder="1" applyAlignment="1">
      <alignment horizontal="center" vertical="center" wrapText="1"/>
    </xf>
    <xf numFmtId="0" fontId="33" fillId="19" borderId="1" xfId="1" applyFont="1" applyFill="1" applyBorder="1" applyAlignment="1">
      <alignment horizontal="center" vertical="center" wrapText="1"/>
    </xf>
    <xf numFmtId="0" fontId="34" fillId="7" borderId="1" xfId="1" applyFont="1" applyFill="1" applyBorder="1" applyAlignment="1">
      <alignment horizontal="center" vertical="center" wrapText="1"/>
    </xf>
    <xf numFmtId="0" fontId="11" fillId="21" borderId="10" xfId="1" applyFont="1" applyFill="1" applyBorder="1" applyAlignment="1">
      <alignment horizontal="center" vertical="center" wrapText="1"/>
    </xf>
    <xf numFmtId="0" fontId="11" fillId="21" borderId="11" xfId="1" applyFont="1" applyFill="1" applyBorder="1" applyAlignment="1">
      <alignment horizontal="center" vertical="center" wrapText="1"/>
    </xf>
    <xf numFmtId="0" fontId="26" fillId="0" borderId="11" xfId="1" applyFont="1" applyFill="1" applyBorder="1" applyAlignment="1">
      <alignment horizontal="center" vertical="center" wrapText="1"/>
    </xf>
    <xf numFmtId="0" fontId="28" fillId="23" borderId="10" xfId="1" applyFont="1" applyFill="1" applyBorder="1" applyAlignment="1">
      <alignment horizontal="center" vertical="center" wrapText="1"/>
    </xf>
    <xf numFmtId="0" fontId="28" fillId="23" borderId="11" xfId="1" applyFont="1" applyFill="1" applyBorder="1" applyAlignment="1">
      <alignment horizontal="center" vertical="center" wrapText="1"/>
    </xf>
    <xf numFmtId="0" fontId="35" fillId="21" borderId="1" xfId="1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center" vertical="center"/>
    </xf>
    <xf numFmtId="0" fontId="16" fillId="13" borderId="9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0" fillId="12" borderId="1" xfId="0" applyFill="1" applyBorder="1" applyAlignment="1"/>
    <xf numFmtId="0" fontId="12" fillId="15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11" fillId="12" borderId="1" xfId="0" applyFont="1" applyFill="1" applyBorder="1" applyAlignment="1">
      <alignment horizontal="center" vertical="center"/>
    </xf>
    <xf numFmtId="0" fontId="0" fillId="15" borderId="1" xfId="0" applyFill="1" applyBorder="1" applyAlignment="1"/>
    <xf numFmtId="0" fontId="17" fillId="12" borderId="1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5" borderId="11" xfId="0" applyFont="1" applyFill="1" applyBorder="1" applyAlignment="1">
      <alignment horizontal="center"/>
    </xf>
    <xf numFmtId="0" fontId="16" fillId="20" borderId="7" xfId="1" applyFont="1" applyFill="1" applyBorder="1" applyAlignment="1">
      <alignment horizontal="center" vertical="center" wrapText="1"/>
    </xf>
    <xf numFmtId="0" fontId="16" fillId="20" borderId="8" xfId="1" applyFont="1" applyFill="1" applyBorder="1" applyAlignment="1">
      <alignment horizontal="center" vertical="center" wrapText="1"/>
    </xf>
    <xf numFmtId="0" fontId="16" fillId="20" borderId="9" xfId="1" applyFont="1" applyFill="1" applyBorder="1" applyAlignment="1">
      <alignment horizontal="center" vertical="center" wrapText="1"/>
    </xf>
    <xf numFmtId="0" fontId="9" fillId="22" borderId="10" xfId="1" applyFont="1" applyFill="1" applyBorder="1" applyAlignment="1">
      <alignment horizontal="center" vertical="center" wrapText="1"/>
    </xf>
    <xf numFmtId="0" fontId="9" fillId="22" borderId="1" xfId="1" applyFont="1" applyFill="1" applyBorder="1" applyAlignment="1">
      <alignment horizontal="center" vertical="center" wrapText="1"/>
    </xf>
    <xf numFmtId="0" fontId="9" fillId="22" borderId="11" xfId="1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top" wrapText="1"/>
    </xf>
    <xf numFmtId="0" fontId="29" fillId="0" borderId="0" xfId="0" applyFont="1" applyBorder="1" applyAlignment="1">
      <alignment horizontal="left" vertical="top" wrapText="1"/>
    </xf>
    <xf numFmtId="0" fontId="29" fillId="0" borderId="13" xfId="0" applyFont="1" applyBorder="1" applyAlignment="1">
      <alignment horizontal="left" vertical="top" wrapText="1"/>
    </xf>
    <xf numFmtId="0" fontId="29" fillId="0" borderId="21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29" fillId="0" borderId="22" xfId="0" applyFont="1" applyBorder="1" applyAlignment="1">
      <alignment horizontal="left" vertical="top" wrapText="1"/>
    </xf>
    <xf numFmtId="0" fontId="29" fillId="0" borderId="10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29" fillId="0" borderId="11" xfId="0" applyFont="1" applyBorder="1" applyAlignment="1">
      <alignment horizontal="left" vertical="top" wrapText="1"/>
    </xf>
    <xf numFmtId="0" fontId="29" fillId="0" borderId="23" xfId="0" applyFont="1" applyBorder="1" applyAlignment="1">
      <alignment horizontal="left" vertical="top" wrapText="1"/>
    </xf>
    <xf numFmtId="0" fontId="29" fillId="0" borderId="24" xfId="0" applyFont="1" applyBorder="1" applyAlignment="1">
      <alignment horizontal="left" vertical="top" wrapText="1"/>
    </xf>
    <xf numFmtId="0" fontId="29" fillId="0" borderId="25" xfId="0" applyFont="1" applyBorder="1" applyAlignment="1">
      <alignment horizontal="left" vertical="top" wrapText="1"/>
    </xf>
    <xf numFmtId="0" fontId="16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I21"/>
  <sheetViews>
    <sheetView showGridLines="0" tabSelected="1" zoomScaleNormal="100" workbookViewId="0">
      <selection sqref="A1:I1"/>
    </sheetView>
  </sheetViews>
  <sheetFormatPr defaultColWidth="0" defaultRowHeight="16.5" zeroHeight="1" outlineLevelCol="1" x14ac:dyDescent="0.3"/>
  <cols>
    <col min="1" max="2" width="5.625" style="2" customWidth="1"/>
    <col min="3" max="3" width="18.125" style="3" customWidth="1"/>
    <col min="4" max="4" width="40.625" style="2" customWidth="1"/>
    <col min="5" max="5" width="30.625" style="2" customWidth="1" outlineLevel="1"/>
    <col min="6" max="6" width="50.625" style="2" customWidth="1"/>
    <col min="7" max="7" width="30.625" style="2" customWidth="1"/>
    <col min="8" max="8" width="7.625" style="2" customWidth="1"/>
    <col min="9" max="9" width="30.625" style="2" customWidth="1"/>
    <col min="10" max="16384" width="9" style="2" hidden="1"/>
  </cols>
  <sheetData>
    <row r="1" spans="1:9" ht="30" customHeight="1" x14ac:dyDescent="0.5">
      <c r="A1" s="65" t="s">
        <v>11</v>
      </c>
      <c r="B1" s="65"/>
      <c r="C1" s="66"/>
      <c r="D1" s="66"/>
      <c r="E1" s="66"/>
      <c r="F1" s="66"/>
      <c r="G1" s="66"/>
      <c r="H1" s="66"/>
      <c r="I1" s="66"/>
    </row>
    <row r="2" spans="1:9" ht="40.5" x14ac:dyDescent="0.3">
      <c r="A2" s="22" t="s">
        <v>87</v>
      </c>
      <c r="B2" s="22" t="s">
        <v>29</v>
      </c>
      <c r="C2" s="22" t="s">
        <v>12</v>
      </c>
      <c r="D2" s="22" t="s">
        <v>0</v>
      </c>
      <c r="E2" s="22" t="s">
        <v>108</v>
      </c>
      <c r="F2" s="22" t="s">
        <v>1</v>
      </c>
      <c r="G2" s="22" t="s">
        <v>2</v>
      </c>
      <c r="H2" s="22" t="s">
        <v>103</v>
      </c>
      <c r="I2" s="22" t="s">
        <v>104</v>
      </c>
    </row>
    <row r="3" spans="1:9" ht="95.1" customHeight="1" x14ac:dyDescent="0.3">
      <c r="A3" s="4" t="s">
        <v>13</v>
      </c>
      <c r="B3" s="67" t="s">
        <v>30</v>
      </c>
      <c r="C3" s="1" t="s">
        <v>42</v>
      </c>
      <c r="D3" s="5" t="s">
        <v>31</v>
      </c>
      <c r="E3" s="15" t="s">
        <v>109</v>
      </c>
      <c r="F3" s="5" t="s">
        <v>51</v>
      </c>
      <c r="G3" s="7" t="s">
        <v>50</v>
      </c>
      <c r="H3" s="10"/>
      <c r="I3" s="10"/>
    </row>
    <row r="4" spans="1:9" ht="95.1" customHeight="1" x14ac:dyDescent="0.3">
      <c r="A4" s="14" t="s">
        <v>14</v>
      </c>
      <c r="B4" s="67"/>
      <c r="C4" s="1" t="s">
        <v>53</v>
      </c>
      <c r="D4" s="5" t="s">
        <v>52</v>
      </c>
      <c r="E4" s="15" t="s">
        <v>110</v>
      </c>
      <c r="F4" s="5" t="s">
        <v>91</v>
      </c>
      <c r="G4" s="7" t="s">
        <v>55</v>
      </c>
      <c r="H4" s="10"/>
      <c r="I4" s="10"/>
    </row>
    <row r="5" spans="1:9" ht="110.1" customHeight="1" x14ac:dyDescent="0.3">
      <c r="A5" s="14" t="s">
        <v>15</v>
      </c>
      <c r="B5" s="67"/>
      <c r="C5" s="1" t="s">
        <v>43</v>
      </c>
      <c r="D5" s="5" t="s">
        <v>88</v>
      </c>
      <c r="E5" s="15" t="s">
        <v>111</v>
      </c>
      <c r="F5" s="5" t="s">
        <v>92</v>
      </c>
      <c r="G5" s="7" t="s">
        <v>56</v>
      </c>
      <c r="H5" s="10"/>
      <c r="I5" s="10"/>
    </row>
    <row r="6" spans="1:9" ht="95.1" customHeight="1" x14ac:dyDescent="0.3">
      <c r="A6" s="14" t="s">
        <v>16</v>
      </c>
      <c r="B6" s="68" t="s">
        <v>82</v>
      </c>
      <c r="C6" s="1" t="s">
        <v>57</v>
      </c>
      <c r="D6" s="5" t="s">
        <v>7</v>
      </c>
      <c r="E6" s="15" t="s">
        <v>112</v>
      </c>
      <c r="F6" s="5" t="s">
        <v>93</v>
      </c>
      <c r="G6" s="7" t="s">
        <v>81</v>
      </c>
      <c r="H6" s="10"/>
      <c r="I6" s="10"/>
    </row>
    <row r="7" spans="1:9" ht="69.95" customHeight="1" x14ac:dyDescent="0.3">
      <c r="A7" s="14" t="s">
        <v>17</v>
      </c>
      <c r="B7" s="68"/>
      <c r="C7" s="1" t="s">
        <v>44</v>
      </c>
      <c r="D7" s="5" t="s">
        <v>78</v>
      </c>
      <c r="E7" s="15" t="s">
        <v>113</v>
      </c>
      <c r="F7" s="5" t="s">
        <v>79</v>
      </c>
      <c r="G7" s="7" t="s">
        <v>80</v>
      </c>
      <c r="H7" s="10"/>
      <c r="I7" s="10"/>
    </row>
    <row r="8" spans="1:9" ht="95.1" customHeight="1" x14ac:dyDescent="0.3">
      <c r="A8" s="14" t="s">
        <v>18</v>
      </c>
      <c r="B8" s="68"/>
      <c r="C8" s="1" t="s">
        <v>45</v>
      </c>
      <c r="D8" s="5" t="s">
        <v>76</v>
      </c>
      <c r="E8" s="15" t="s">
        <v>127</v>
      </c>
      <c r="F8" s="5" t="s">
        <v>32</v>
      </c>
      <c r="G8" s="7" t="s">
        <v>77</v>
      </c>
      <c r="H8" s="10"/>
      <c r="I8" s="10"/>
    </row>
    <row r="9" spans="1:9" ht="94.5" customHeight="1" x14ac:dyDescent="0.3">
      <c r="A9" s="14" t="s">
        <v>19</v>
      </c>
      <c r="B9" s="68"/>
      <c r="C9" s="1" t="s">
        <v>46</v>
      </c>
      <c r="D9" s="5" t="s">
        <v>33</v>
      </c>
      <c r="E9" s="15" t="s">
        <v>114</v>
      </c>
      <c r="F9" s="5" t="s">
        <v>74</v>
      </c>
      <c r="G9" s="7" t="s">
        <v>75</v>
      </c>
      <c r="H9" s="10"/>
      <c r="I9" s="10"/>
    </row>
    <row r="10" spans="1:9" ht="95.1" customHeight="1" x14ac:dyDescent="0.3">
      <c r="A10" s="14" t="s">
        <v>20</v>
      </c>
      <c r="B10" s="16" t="s">
        <v>83</v>
      </c>
      <c r="C10" s="1" t="s">
        <v>3</v>
      </c>
      <c r="D10" s="5" t="s">
        <v>72</v>
      </c>
      <c r="E10" s="15" t="s">
        <v>115</v>
      </c>
      <c r="F10" s="5" t="s">
        <v>90</v>
      </c>
      <c r="G10" s="7" t="s">
        <v>73</v>
      </c>
      <c r="H10" s="10"/>
      <c r="I10" s="10"/>
    </row>
    <row r="11" spans="1:9" ht="95.1" customHeight="1" x14ac:dyDescent="0.3">
      <c r="A11" s="14" t="s">
        <v>21</v>
      </c>
      <c r="B11" s="70" t="s">
        <v>84</v>
      </c>
      <c r="C11" s="1" t="s">
        <v>70</v>
      </c>
      <c r="D11" s="5" t="s">
        <v>34</v>
      </c>
      <c r="E11" s="15" t="s">
        <v>116</v>
      </c>
      <c r="F11" s="5" t="s">
        <v>35</v>
      </c>
      <c r="G11" s="7" t="s">
        <v>71</v>
      </c>
      <c r="H11" s="10"/>
      <c r="I11" s="10"/>
    </row>
    <row r="12" spans="1:9" ht="69.95" customHeight="1" x14ac:dyDescent="0.3">
      <c r="A12" s="14" t="s">
        <v>22</v>
      </c>
      <c r="B12" s="71"/>
      <c r="C12" s="1" t="s">
        <v>47</v>
      </c>
      <c r="D12" s="5" t="s">
        <v>9</v>
      </c>
      <c r="E12" s="15" t="s">
        <v>126</v>
      </c>
      <c r="F12" s="5" t="s">
        <v>36</v>
      </c>
      <c r="G12" s="7" t="s">
        <v>10</v>
      </c>
      <c r="H12" s="10"/>
      <c r="I12" s="10"/>
    </row>
    <row r="13" spans="1:9" ht="69.95" customHeight="1" x14ac:dyDescent="0.3">
      <c r="A13" s="14" t="s">
        <v>23</v>
      </c>
      <c r="B13" s="71"/>
      <c r="C13" s="1" t="s">
        <v>97</v>
      </c>
      <c r="D13" s="5" t="s">
        <v>96</v>
      </c>
      <c r="E13" s="15" t="s">
        <v>122</v>
      </c>
      <c r="F13" s="5" t="s">
        <v>133</v>
      </c>
      <c r="G13" s="7" t="s">
        <v>98</v>
      </c>
      <c r="H13" s="10"/>
      <c r="I13" s="10"/>
    </row>
    <row r="14" spans="1:9" ht="110.1" customHeight="1" x14ac:dyDescent="0.3">
      <c r="A14" s="14" t="s">
        <v>24</v>
      </c>
      <c r="B14" s="72"/>
      <c r="C14" s="4" t="s">
        <v>106</v>
      </c>
      <c r="D14" s="6" t="s">
        <v>130</v>
      </c>
      <c r="E14" s="15" t="s">
        <v>125</v>
      </c>
      <c r="F14" s="6" t="s">
        <v>131</v>
      </c>
      <c r="G14" s="8" t="s">
        <v>107</v>
      </c>
      <c r="H14" s="10"/>
      <c r="I14" s="13"/>
    </row>
    <row r="15" spans="1:9" ht="110.1" customHeight="1" x14ac:dyDescent="0.3">
      <c r="A15" s="14" t="s">
        <v>25</v>
      </c>
      <c r="B15" s="17" t="s">
        <v>85</v>
      </c>
      <c r="C15" s="1" t="s">
        <v>4</v>
      </c>
      <c r="D15" s="5" t="s">
        <v>95</v>
      </c>
      <c r="E15" s="15" t="s">
        <v>117</v>
      </c>
      <c r="F15" s="5" t="s">
        <v>94</v>
      </c>
      <c r="G15" s="7" t="s">
        <v>69</v>
      </c>
      <c r="H15" s="10"/>
      <c r="I15" s="10"/>
    </row>
    <row r="16" spans="1:9" ht="95.1" customHeight="1" x14ac:dyDescent="0.3">
      <c r="A16" s="14" t="s">
        <v>26</v>
      </c>
      <c r="B16" s="69" t="s">
        <v>86</v>
      </c>
      <c r="C16" s="1" t="s">
        <v>5</v>
      </c>
      <c r="D16" s="5" t="s">
        <v>8</v>
      </c>
      <c r="E16" s="15" t="s">
        <v>118</v>
      </c>
      <c r="F16" s="5" t="s">
        <v>68</v>
      </c>
      <c r="G16" s="7" t="s">
        <v>67</v>
      </c>
      <c r="H16" s="10"/>
      <c r="I16" s="10"/>
    </row>
    <row r="17" spans="1:9" ht="95.1" customHeight="1" x14ac:dyDescent="0.3">
      <c r="A17" s="14" t="s">
        <v>27</v>
      </c>
      <c r="B17" s="69"/>
      <c r="C17" s="1" t="s">
        <v>6</v>
      </c>
      <c r="D17" s="9" t="s">
        <v>37</v>
      </c>
      <c r="E17" s="15" t="s">
        <v>119</v>
      </c>
      <c r="F17" s="5" t="s">
        <v>38</v>
      </c>
      <c r="G17" s="7" t="s">
        <v>66</v>
      </c>
      <c r="H17" s="10"/>
      <c r="I17" s="10"/>
    </row>
    <row r="18" spans="1:9" ht="69.95" customHeight="1" x14ac:dyDescent="0.3">
      <c r="A18" s="14" t="s">
        <v>28</v>
      </c>
      <c r="B18" s="18" t="s">
        <v>62</v>
      </c>
      <c r="C18" s="1" t="s">
        <v>63</v>
      </c>
      <c r="D18" s="5" t="s">
        <v>64</v>
      </c>
      <c r="E18" s="15" t="s">
        <v>120</v>
      </c>
      <c r="F18" s="5" t="s">
        <v>65</v>
      </c>
      <c r="G18" s="7" t="s">
        <v>61</v>
      </c>
      <c r="H18" s="10"/>
      <c r="I18" s="10"/>
    </row>
    <row r="19" spans="1:9" ht="155.1" customHeight="1" x14ac:dyDescent="0.3">
      <c r="A19" s="14" t="s">
        <v>54</v>
      </c>
      <c r="B19" s="19" t="s">
        <v>59</v>
      </c>
      <c r="C19" s="1" t="s">
        <v>48</v>
      </c>
      <c r="D19" s="5" t="s">
        <v>39</v>
      </c>
      <c r="E19" s="12" t="s">
        <v>123</v>
      </c>
      <c r="F19" s="5" t="s">
        <v>60</v>
      </c>
      <c r="G19" s="7" t="s">
        <v>40</v>
      </c>
      <c r="H19" s="10"/>
      <c r="I19" s="10"/>
    </row>
    <row r="20" spans="1:9" ht="125.1" customHeight="1" x14ac:dyDescent="0.3">
      <c r="A20" s="14" t="s">
        <v>128</v>
      </c>
      <c r="B20" s="20" t="s">
        <v>89</v>
      </c>
      <c r="C20" s="4" t="s">
        <v>49</v>
      </c>
      <c r="D20" s="6" t="s">
        <v>58</v>
      </c>
      <c r="E20" s="15" t="s">
        <v>121</v>
      </c>
      <c r="F20" s="6" t="s">
        <v>129</v>
      </c>
      <c r="G20" s="8" t="s">
        <v>41</v>
      </c>
      <c r="H20" s="10"/>
      <c r="I20" s="11"/>
    </row>
    <row r="21" spans="1:9" ht="95.1" customHeight="1" x14ac:dyDescent="0.3">
      <c r="A21" s="14" t="s">
        <v>105</v>
      </c>
      <c r="B21" s="21" t="s">
        <v>99</v>
      </c>
      <c r="C21" s="4" t="s">
        <v>100</v>
      </c>
      <c r="D21" s="6" t="s">
        <v>101</v>
      </c>
      <c r="E21" s="15" t="s">
        <v>124</v>
      </c>
      <c r="F21" s="6" t="s">
        <v>132</v>
      </c>
      <c r="G21" s="8" t="s">
        <v>102</v>
      </c>
      <c r="H21" s="10"/>
      <c r="I21" s="11"/>
    </row>
  </sheetData>
  <mergeCells count="5">
    <mergeCell ref="A1:I1"/>
    <mergeCell ref="B3:B5"/>
    <mergeCell ref="B6:B9"/>
    <mergeCell ref="B16:B17"/>
    <mergeCell ref="B11:B14"/>
  </mergeCells>
  <phoneticPr fontId="1" type="noConversion"/>
  <dataValidations count="1">
    <dataValidation type="list" allowBlank="1" showInputMessage="1" showErrorMessage="1" sqref="H3:H21">
      <formula1>"이행, 부분이행, 미이행, 해당없음"</formula1>
    </dataValidation>
  </dataValidations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H19"/>
  <sheetViews>
    <sheetView showGridLines="0" workbookViewId="0">
      <selection sqref="A1:XFD1"/>
    </sheetView>
  </sheetViews>
  <sheetFormatPr defaultColWidth="0" defaultRowHeight="16.5" zeroHeight="1" x14ac:dyDescent="0.3"/>
  <cols>
    <col min="1" max="8" width="9" customWidth="1"/>
    <col min="9" max="16384" width="9" hidden="1"/>
  </cols>
  <sheetData>
    <row r="1" spans="1:8" ht="30" customHeight="1" x14ac:dyDescent="0.3">
      <c r="A1" s="73" t="s">
        <v>134</v>
      </c>
      <c r="B1" s="74"/>
      <c r="C1" s="74"/>
      <c r="D1" s="74"/>
      <c r="E1" s="74"/>
      <c r="F1" s="74"/>
      <c r="G1" s="74"/>
      <c r="H1" s="75"/>
    </row>
    <row r="2" spans="1:8" x14ac:dyDescent="0.3">
      <c r="A2" s="76" t="s">
        <v>135</v>
      </c>
      <c r="B2" s="77"/>
      <c r="C2" s="78"/>
      <c r="D2" s="79"/>
      <c r="E2" s="80" t="s">
        <v>136</v>
      </c>
      <c r="F2" s="77"/>
      <c r="G2" s="97"/>
      <c r="H2" s="98"/>
    </row>
    <row r="3" spans="1:8" x14ac:dyDescent="0.3">
      <c r="A3" s="76" t="s">
        <v>137</v>
      </c>
      <c r="B3" s="77"/>
      <c r="C3" s="81"/>
      <c r="D3" s="79"/>
      <c r="E3" s="80" t="s">
        <v>175</v>
      </c>
      <c r="F3" s="77"/>
      <c r="G3" s="97" t="s">
        <v>176</v>
      </c>
      <c r="H3" s="98"/>
    </row>
    <row r="4" spans="1:8" ht="8.25" customHeight="1" x14ac:dyDescent="0.3">
      <c r="A4" s="94"/>
      <c r="B4" s="95"/>
      <c r="C4" s="95"/>
      <c r="D4" s="95"/>
      <c r="E4" s="95"/>
      <c r="F4" s="95"/>
      <c r="G4" s="95"/>
      <c r="H4" s="96"/>
    </row>
    <row r="5" spans="1:8" x14ac:dyDescent="0.3">
      <c r="A5" s="35" t="s">
        <v>138</v>
      </c>
      <c r="B5" s="34" t="s">
        <v>165</v>
      </c>
      <c r="C5" s="34" t="s">
        <v>139</v>
      </c>
      <c r="D5" s="34" t="s">
        <v>156</v>
      </c>
      <c r="E5" s="34" t="s">
        <v>157</v>
      </c>
      <c r="F5" s="34" t="s">
        <v>140</v>
      </c>
      <c r="G5" s="34" t="s">
        <v>141</v>
      </c>
      <c r="H5" s="36" t="s">
        <v>166</v>
      </c>
    </row>
    <row r="6" spans="1:8" ht="30" customHeight="1" x14ac:dyDescent="0.3">
      <c r="A6" s="37" t="s">
        <v>143</v>
      </c>
      <c r="B6" s="24">
        <v>3</v>
      </c>
      <c r="C6" s="29">
        <f>COUNTIF('점검 체크리스트'!H3:H5,"이행")</f>
        <v>0</v>
      </c>
      <c r="D6" s="31">
        <f>COUNTIF('점검 체크리스트'!H3:H5,"부분이행")</f>
        <v>0</v>
      </c>
      <c r="E6" s="28">
        <f>COUNTIF('점검 체크리스트'!H3:H5,"미이행")</f>
        <v>0</v>
      </c>
      <c r="F6" s="30">
        <f>COUNTIF('점검 체크리스트'!H3:H5,"해당없음")</f>
        <v>0</v>
      </c>
      <c r="G6" s="25" t="str">
        <f t="shared" ref="G6:G12" si="0">IF(B6=0,"",IF((C6+D6+E6+F6)=0,"미입력",TEXT(C6/B6,"0%")))</f>
        <v>미입력</v>
      </c>
      <c r="H6" s="38" t="s">
        <v>144</v>
      </c>
    </row>
    <row r="7" spans="1:8" ht="30" customHeight="1" x14ac:dyDescent="0.3">
      <c r="A7" s="39" t="s">
        <v>145</v>
      </c>
      <c r="B7" s="26">
        <v>4</v>
      </c>
      <c r="C7" s="29">
        <f>COUNTIF('점검 체크리스트'!H6:H9,"이행")</f>
        <v>0</v>
      </c>
      <c r="D7" s="31">
        <f>COUNTIF('점검 체크리스트'!H6:H9,"부분이행")</f>
        <v>0</v>
      </c>
      <c r="E7" s="28">
        <f>COUNTIF('점검 체크리스트'!H6:H9,"미이행")</f>
        <v>0</v>
      </c>
      <c r="F7" s="30">
        <f>COUNTIF('점검 체크리스트'!H6:H9,"해당없음")</f>
        <v>0</v>
      </c>
      <c r="G7" s="25" t="str">
        <f t="shared" si="0"/>
        <v>미입력</v>
      </c>
      <c r="H7" s="40" t="s">
        <v>146</v>
      </c>
    </row>
    <row r="8" spans="1:8" ht="30" customHeight="1" x14ac:dyDescent="0.3">
      <c r="A8" s="41" t="s">
        <v>147</v>
      </c>
      <c r="B8" s="24">
        <v>1</v>
      </c>
      <c r="C8" s="29">
        <f>COUNTIF('점검 체크리스트'!H10:H10,"이행")</f>
        <v>0</v>
      </c>
      <c r="D8" s="31">
        <f>COUNTIF('점검 체크리스트'!H10:H10,"부분이행")</f>
        <v>0</v>
      </c>
      <c r="E8" s="28">
        <f>COUNTIF('점검 체크리스트'!H10:H10,"미이행")</f>
        <v>0</v>
      </c>
      <c r="F8" s="30">
        <f>COUNTIF('점검 체크리스트'!H10:H10,"해당없음")</f>
        <v>0</v>
      </c>
      <c r="G8" s="25" t="str">
        <f t="shared" si="0"/>
        <v>미입력</v>
      </c>
      <c r="H8" s="38" t="s">
        <v>20</v>
      </c>
    </row>
    <row r="9" spans="1:8" ht="30" customHeight="1" x14ac:dyDescent="0.3">
      <c r="A9" s="42" t="s">
        <v>148</v>
      </c>
      <c r="B9" s="26">
        <v>4</v>
      </c>
      <c r="C9" s="29">
        <f>COUNTIF('점검 체크리스트'!H11:H14,"이행")</f>
        <v>0</v>
      </c>
      <c r="D9" s="31">
        <f>COUNTIF('점검 체크리스트'!H11:H14,"부분이행")</f>
        <v>0</v>
      </c>
      <c r="E9" s="28">
        <f>COUNTIF('점검 체크리스트'!H11:H14,"미이행")</f>
        <v>0</v>
      </c>
      <c r="F9" s="30">
        <f>COUNTIF('점검 체크리스트'!H11:H14,"해당없음")</f>
        <v>0</v>
      </c>
      <c r="G9" s="25" t="str">
        <f t="shared" si="0"/>
        <v>미입력</v>
      </c>
      <c r="H9" s="40" t="s">
        <v>149</v>
      </c>
    </row>
    <row r="10" spans="1:8" ht="30" customHeight="1" x14ac:dyDescent="0.3">
      <c r="A10" s="43" t="s">
        <v>150</v>
      </c>
      <c r="B10" s="24">
        <v>3</v>
      </c>
      <c r="C10" s="29">
        <f>COUNTIF('점검 체크리스트'!H15:H17,"이행")</f>
        <v>0</v>
      </c>
      <c r="D10" s="31">
        <f>COUNTIF('점검 체크리스트'!H15:H17,"부분이행")</f>
        <v>0</v>
      </c>
      <c r="E10" s="28">
        <f>COUNTIF('점검 체크리스트'!H15:H17,"미이행")</f>
        <v>0</v>
      </c>
      <c r="F10" s="30">
        <f>COUNTIF('점검 체크리스트'!H15:H17,"해당없음")</f>
        <v>0</v>
      </c>
      <c r="G10" s="25" t="str">
        <f t="shared" si="0"/>
        <v>미입력</v>
      </c>
      <c r="H10" s="38" t="s">
        <v>151</v>
      </c>
    </row>
    <row r="11" spans="1:8" ht="30" customHeight="1" x14ac:dyDescent="0.3">
      <c r="A11" s="44" t="s">
        <v>152</v>
      </c>
      <c r="B11" s="26">
        <v>2</v>
      </c>
      <c r="C11" s="29">
        <f>COUNTIF('점검 체크리스트'!H18:H19,"이행")</f>
        <v>0</v>
      </c>
      <c r="D11" s="31">
        <f>COUNTIF('점검 체크리스트'!H18:H19,"부분이행")</f>
        <v>0</v>
      </c>
      <c r="E11" s="28">
        <f>COUNTIF('점검 체크리스트'!H18:H19,"미이행")</f>
        <v>0</v>
      </c>
      <c r="F11" s="30">
        <f>COUNTIF('점검 체크리스트'!H18:H19,"해당없음")</f>
        <v>0</v>
      </c>
      <c r="G11" s="25" t="str">
        <f t="shared" si="0"/>
        <v>미입력</v>
      </c>
      <c r="H11" s="40" t="s">
        <v>153</v>
      </c>
    </row>
    <row r="12" spans="1:8" ht="30" customHeight="1" x14ac:dyDescent="0.3">
      <c r="A12" s="45" t="s">
        <v>158</v>
      </c>
      <c r="B12" s="24">
        <v>2</v>
      </c>
      <c r="C12" s="29">
        <f>COUNTIF('점검 체크리스트'!H20:H21,"이행")</f>
        <v>0</v>
      </c>
      <c r="D12" s="31">
        <f>COUNTIF('점검 체크리스트'!H20:H21,"부분이행")</f>
        <v>0</v>
      </c>
      <c r="E12" s="28">
        <f>COUNTIF('점검 체크리스트'!H20:H21,"미이행")</f>
        <v>0</v>
      </c>
      <c r="F12" s="30">
        <f>COUNTIF('점검 체크리스트'!H20:H21,"해당없음")</f>
        <v>0</v>
      </c>
      <c r="G12" s="25" t="str">
        <f t="shared" si="0"/>
        <v>미입력</v>
      </c>
      <c r="H12" s="38" t="s">
        <v>154</v>
      </c>
    </row>
    <row r="13" spans="1:8" ht="30" customHeight="1" x14ac:dyDescent="0.3">
      <c r="A13" s="46" t="s">
        <v>155</v>
      </c>
      <c r="B13" s="27">
        <v>19</v>
      </c>
      <c r="C13" s="27">
        <f>SUM(C6:C12)</f>
        <v>0</v>
      </c>
      <c r="D13" s="27">
        <f>SUM(E6:E12)</f>
        <v>0</v>
      </c>
      <c r="E13" s="27">
        <f>SUM(F6:F12)</f>
        <v>0</v>
      </c>
      <c r="F13" s="27">
        <f>SUM(G6:G12)</f>
        <v>0</v>
      </c>
      <c r="G13" s="27" t="str">
        <f>IF(B13=0,"",IF((C13+D13+E13)=0,"미입력",TEXT(C13/B13,"0%")))</f>
        <v>미입력</v>
      </c>
      <c r="H13" s="47" t="s">
        <v>159</v>
      </c>
    </row>
    <row r="14" spans="1:8" ht="8.25" customHeight="1" x14ac:dyDescent="0.3">
      <c r="A14" s="94"/>
      <c r="B14" s="95"/>
      <c r="C14" s="95"/>
      <c r="D14" s="95"/>
      <c r="E14" s="95"/>
      <c r="F14" s="95"/>
      <c r="G14" s="95"/>
      <c r="H14" s="96"/>
    </row>
    <row r="15" spans="1:8" ht="16.5" customHeight="1" x14ac:dyDescent="0.3">
      <c r="A15" s="82" t="s">
        <v>167</v>
      </c>
      <c r="B15" s="83"/>
      <c r="C15" s="83"/>
      <c r="D15" s="83"/>
      <c r="E15" s="83"/>
      <c r="F15" s="83"/>
      <c r="G15" s="83"/>
      <c r="H15" s="84"/>
    </row>
    <row r="16" spans="1:8" ht="16.5" customHeight="1" x14ac:dyDescent="0.3">
      <c r="A16" s="85" t="s">
        <v>168</v>
      </c>
      <c r="B16" s="86"/>
      <c r="C16" s="86"/>
      <c r="D16" s="86"/>
      <c r="E16" s="86"/>
      <c r="F16" s="86"/>
      <c r="G16" s="86"/>
      <c r="H16" s="87"/>
    </row>
    <row r="17" spans="1:8" x14ac:dyDescent="0.3">
      <c r="A17" s="88"/>
      <c r="B17" s="89"/>
      <c r="C17" s="89"/>
      <c r="D17" s="89"/>
      <c r="E17" s="89"/>
      <c r="F17" s="89"/>
      <c r="G17" s="89"/>
      <c r="H17" s="90"/>
    </row>
    <row r="18" spans="1:8" x14ac:dyDescent="0.3">
      <c r="A18" s="88"/>
      <c r="B18" s="89"/>
      <c r="C18" s="89"/>
      <c r="D18" s="89"/>
      <c r="E18" s="89"/>
      <c r="F18" s="89"/>
      <c r="G18" s="89"/>
      <c r="H18" s="90"/>
    </row>
    <row r="19" spans="1:8" ht="17.25" thickBot="1" x14ac:dyDescent="0.35">
      <c r="A19" s="91"/>
      <c r="B19" s="92"/>
      <c r="C19" s="92"/>
      <c r="D19" s="92"/>
      <c r="E19" s="92"/>
      <c r="F19" s="92"/>
      <c r="G19" s="92"/>
      <c r="H19" s="93"/>
    </row>
  </sheetData>
  <mergeCells count="13">
    <mergeCell ref="A15:H15"/>
    <mergeCell ref="A16:H19"/>
    <mergeCell ref="A4:H4"/>
    <mergeCell ref="A14:H14"/>
    <mergeCell ref="G2:H2"/>
    <mergeCell ref="G3:H3"/>
    <mergeCell ref="A1:H1"/>
    <mergeCell ref="A2:B2"/>
    <mergeCell ref="C2:D2"/>
    <mergeCell ref="E2:F2"/>
    <mergeCell ref="A3:B3"/>
    <mergeCell ref="C3:D3"/>
    <mergeCell ref="E3:F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P27"/>
  <sheetViews>
    <sheetView showGridLines="0" zoomScaleNormal="100" workbookViewId="0">
      <selection activeCell="A17" sqref="A17:I19"/>
    </sheetView>
  </sheetViews>
  <sheetFormatPr defaultColWidth="0" defaultRowHeight="16.5" zeroHeight="1" x14ac:dyDescent="0.3"/>
  <cols>
    <col min="1" max="1" width="13" customWidth="1"/>
    <col min="2" max="2" width="8" customWidth="1"/>
    <col min="3" max="3" width="30.625" customWidth="1"/>
    <col min="4" max="4" width="40.625" customWidth="1"/>
    <col min="5" max="5" width="35.625" customWidth="1"/>
    <col min="6" max="6" width="25.625" customWidth="1"/>
    <col min="7" max="7" width="10.625" customWidth="1"/>
    <col min="8" max="9" width="10" customWidth="1"/>
    <col min="10" max="16" width="0" hidden="1" customWidth="1"/>
    <col min="17" max="16384" width="9" hidden="1"/>
  </cols>
  <sheetData>
    <row r="1" spans="1:9" ht="30" customHeight="1" x14ac:dyDescent="0.3">
      <c r="A1" s="99" t="s">
        <v>185</v>
      </c>
      <c r="B1" s="100"/>
      <c r="C1" s="100"/>
      <c r="D1" s="100"/>
      <c r="E1" s="100"/>
      <c r="F1" s="100"/>
      <c r="G1" s="100"/>
      <c r="H1" s="100"/>
      <c r="I1" s="101"/>
    </row>
    <row r="2" spans="1:9" x14ac:dyDescent="0.3">
      <c r="A2" s="102" t="s">
        <v>186</v>
      </c>
      <c r="B2" s="103"/>
      <c r="C2" s="103"/>
      <c r="D2" s="103"/>
      <c r="E2" s="103"/>
      <c r="F2" s="103"/>
      <c r="G2" s="103"/>
      <c r="H2" s="103"/>
      <c r="I2" s="104"/>
    </row>
    <row r="3" spans="1:9" x14ac:dyDescent="0.3">
      <c r="A3" s="59" t="s">
        <v>138</v>
      </c>
      <c r="B3" s="52" t="s">
        <v>184</v>
      </c>
      <c r="C3" s="52" t="s">
        <v>183</v>
      </c>
      <c r="D3" s="52" t="s">
        <v>182</v>
      </c>
      <c r="E3" s="52" t="s">
        <v>181</v>
      </c>
      <c r="F3" s="52" t="s">
        <v>180</v>
      </c>
      <c r="G3" s="64" t="s">
        <v>207</v>
      </c>
      <c r="H3" s="52" t="s">
        <v>179</v>
      </c>
      <c r="I3" s="60" t="s">
        <v>142</v>
      </c>
    </row>
    <row r="4" spans="1:9" ht="50.1" customHeight="1" x14ac:dyDescent="0.3">
      <c r="A4" s="37" t="s">
        <v>143</v>
      </c>
      <c r="B4" s="53">
        <v>3</v>
      </c>
      <c r="C4" s="54" t="s">
        <v>211</v>
      </c>
      <c r="D4" s="54" t="s">
        <v>216</v>
      </c>
      <c r="E4" s="54" t="s">
        <v>187</v>
      </c>
      <c r="F4" s="54" t="s">
        <v>188</v>
      </c>
      <c r="G4" s="58" t="s">
        <v>178</v>
      </c>
      <c r="H4" s="55" t="s">
        <v>144</v>
      </c>
      <c r="I4" s="61"/>
    </row>
    <row r="5" spans="1:9" ht="50.1" customHeight="1" x14ac:dyDescent="0.3">
      <c r="A5" s="39" t="s">
        <v>145</v>
      </c>
      <c r="B5" s="53">
        <v>4</v>
      </c>
      <c r="C5" s="54" t="s">
        <v>210</v>
      </c>
      <c r="D5" s="54" t="s">
        <v>209</v>
      </c>
      <c r="E5" s="54" t="s">
        <v>189</v>
      </c>
      <c r="F5" s="54" t="s">
        <v>190</v>
      </c>
      <c r="G5" s="57" t="s">
        <v>177</v>
      </c>
      <c r="H5" s="55" t="s">
        <v>146</v>
      </c>
      <c r="I5" s="61"/>
    </row>
    <row r="6" spans="1:9" ht="50.1" customHeight="1" x14ac:dyDescent="0.3">
      <c r="A6" s="41" t="s">
        <v>147</v>
      </c>
      <c r="B6" s="53">
        <v>1</v>
      </c>
      <c r="C6" s="54" t="s">
        <v>212</v>
      </c>
      <c r="D6" s="54" t="s">
        <v>213</v>
      </c>
      <c r="E6" s="54" t="s">
        <v>191</v>
      </c>
      <c r="F6" s="54" t="s">
        <v>192</v>
      </c>
      <c r="G6" s="57" t="s">
        <v>177</v>
      </c>
      <c r="H6" s="55" t="s">
        <v>20</v>
      </c>
      <c r="I6" s="61"/>
    </row>
    <row r="7" spans="1:9" ht="50.1" customHeight="1" x14ac:dyDescent="0.3">
      <c r="A7" s="42" t="s">
        <v>148</v>
      </c>
      <c r="B7" s="53">
        <v>4</v>
      </c>
      <c r="C7" s="54" t="s">
        <v>193</v>
      </c>
      <c r="D7" s="54" t="s">
        <v>214</v>
      </c>
      <c r="E7" s="54" t="s">
        <v>194</v>
      </c>
      <c r="F7" s="54" t="s">
        <v>195</v>
      </c>
      <c r="G7" s="58" t="s">
        <v>178</v>
      </c>
      <c r="H7" s="55" t="s">
        <v>149</v>
      </c>
      <c r="I7" s="61"/>
    </row>
    <row r="8" spans="1:9" ht="50.1" customHeight="1" x14ac:dyDescent="0.3">
      <c r="A8" s="43" t="s">
        <v>150</v>
      </c>
      <c r="B8" s="53">
        <v>3</v>
      </c>
      <c r="C8" s="54" t="s">
        <v>196</v>
      </c>
      <c r="D8" s="54" t="s">
        <v>215</v>
      </c>
      <c r="E8" s="54" t="s">
        <v>197</v>
      </c>
      <c r="F8" s="54" t="s">
        <v>198</v>
      </c>
      <c r="G8" s="58" t="s">
        <v>178</v>
      </c>
      <c r="H8" s="55" t="s">
        <v>151</v>
      </c>
      <c r="I8" s="61"/>
    </row>
    <row r="9" spans="1:9" ht="50.1" customHeight="1" x14ac:dyDescent="0.3">
      <c r="A9" s="44" t="s">
        <v>152</v>
      </c>
      <c r="B9" s="53">
        <v>2</v>
      </c>
      <c r="C9" s="54" t="s">
        <v>199</v>
      </c>
      <c r="D9" s="54" t="s">
        <v>200</v>
      </c>
      <c r="E9" s="54" t="s">
        <v>201</v>
      </c>
      <c r="F9" s="54" t="s">
        <v>202</v>
      </c>
      <c r="G9" s="58" t="s">
        <v>178</v>
      </c>
      <c r="H9" s="55" t="s">
        <v>153</v>
      </c>
      <c r="I9" s="61"/>
    </row>
    <row r="10" spans="1:9" ht="50.1" customHeight="1" x14ac:dyDescent="0.3">
      <c r="A10" s="45" t="s">
        <v>158</v>
      </c>
      <c r="B10" s="53">
        <v>2</v>
      </c>
      <c r="C10" s="54" t="s">
        <v>203</v>
      </c>
      <c r="D10" s="54" t="s">
        <v>204</v>
      </c>
      <c r="E10" s="54" t="s">
        <v>205</v>
      </c>
      <c r="F10" s="54" t="s">
        <v>206</v>
      </c>
      <c r="G10" s="57" t="s">
        <v>177</v>
      </c>
      <c r="H10" s="55" t="s">
        <v>154</v>
      </c>
      <c r="I10" s="61"/>
    </row>
    <row r="11" spans="1:9" x14ac:dyDescent="0.3">
      <c r="A11" s="62" t="s">
        <v>155</v>
      </c>
      <c r="B11" s="56">
        <v>19</v>
      </c>
      <c r="C11" s="56"/>
      <c r="D11" s="56"/>
      <c r="E11" s="56"/>
      <c r="F11" s="56"/>
      <c r="G11" s="56"/>
      <c r="H11" s="56" t="s">
        <v>217</v>
      </c>
      <c r="I11" s="63"/>
    </row>
    <row r="12" spans="1:9" x14ac:dyDescent="0.3">
      <c r="A12" s="102" t="s">
        <v>186</v>
      </c>
      <c r="B12" s="103"/>
      <c r="C12" s="103"/>
      <c r="D12" s="103"/>
      <c r="E12" s="103"/>
      <c r="F12" s="103"/>
      <c r="G12" s="103"/>
      <c r="H12" s="103"/>
      <c r="I12" s="104"/>
    </row>
    <row r="13" spans="1:9" ht="16.5" customHeight="1" x14ac:dyDescent="0.3">
      <c r="A13" s="105" t="s">
        <v>208</v>
      </c>
      <c r="B13" s="106"/>
      <c r="C13" s="106"/>
      <c r="D13" s="106"/>
      <c r="E13" s="106"/>
      <c r="F13" s="106"/>
      <c r="G13" s="106"/>
      <c r="H13" s="106"/>
      <c r="I13" s="107"/>
    </row>
    <row r="14" spans="1:9" x14ac:dyDescent="0.3">
      <c r="A14" s="105"/>
      <c r="B14" s="106"/>
      <c r="C14" s="106"/>
      <c r="D14" s="106"/>
      <c r="E14" s="106"/>
      <c r="F14" s="106"/>
      <c r="G14" s="106"/>
      <c r="H14" s="106"/>
      <c r="I14" s="107"/>
    </row>
    <row r="15" spans="1:9" x14ac:dyDescent="0.3">
      <c r="A15" s="105"/>
      <c r="B15" s="106"/>
      <c r="C15" s="106"/>
      <c r="D15" s="106"/>
      <c r="E15" s="106"/>
      <c r="F15" s="106"/>
      <c r="G15" s="106"/>
      <c r="H15" s="106"/>
      <c r="I15" s="107"/>
    </row>
    <row r="16" spans="1:9" x14ac:dyDescent="0.3">
      <c r="A16" s="105"/>
      <c r="B16" s="106"/>
      <c r="C16" s="106"/>
      <c r="D16" s="106"/>
      <c r="E16" s="106"/>
      <c r="F16" s="106"/>
      <c r="G16" s="106"/>
      <c r="H16" s="106"/>
      <c r="I16" s="107"/>
    </row>
    <row r="17" spans="1:9" ht="16.5" customHeight="1" x14ac:dyDescent="0.3">
      <c r="A17" s="108"/>
      <c r="B17" s="109"/>
      <c r="C17" s="109"/>
      <c r="D17" s="109"/>
      <c r="E17" s="109"/>
      <c r="F17" s="109"/>
      <c r="G17" s="109"/>
      <c r="H17" s="109"/>
      <c r="I17" s="110"/>
    </row>
    <row r="18" spans="1:9" x14ac:dyDescent="0.3">
      <c r="A18" s="111"/>
      <c r="B18" s="112"/>
      <c r="C18" s="112"/>
      <c r="D18" s="112"/>
      <c r="E18" s="112"/>
      <c r="F18" s="112"/>
      <c r="G18" s="112"/>
      <c r="H18" s="112"/>
      <c r="I18" s="113"/>
    </row>
    <row r="19" spans="1:9" ht="17.25" thickBot="1" x14ac:dyDescent="0.35">
      <c r="A19" s="114"/>
      <c r="B19" s="115"/>
      <c r="C19" s="115"/>
      <c r="D19" s="115"/>
      <c r="E19" s="115"/>
      <c r="F19" s="115"/>
      <c r="G19" s="115"/>
      <c r="H19" s="115"/>
      <c r="I19" s="116"/>
    </row>
    <row r="20" spans="1:9" hidden="1" x14ac:dyDescent="0.3"/>
    <row r="21" spans="1:9" hidden="1" x14ac:dyDescent="0.3"/>
    <row r="22" spans="1:9" hidden="1" x14ac:dyDescent="0.3"/>
    <row r="23" spans="1:9" hidden="1" x14ac:dyDescent="0.3"/>
    <row r="24" spans="1:9" hidden="1" x14ac:dyDescent="0.3"/>
    <row r="25" spans="1:9" hidden="1" x14ac:dyDescent="0.3"/>
    <row r="26" spans="1:9" hidden="1" x14ac:dyDescent="0.3"/>
    <row r="27" spans="1:9" hidden="1" x14ac:dyDescent="0.3"/>
  </sheetData>
  <mergeCells count="5">
    <mergeCell ref="A1:I1"/>
    <mergeCell ref="A2:I2"/>
    <mergeCell ref="A12:I12"/>
    <mergeCell ref="A13:I16"/>
    <mergeCell ref="A17:I19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F22"/>
  <sheetViews>
    <sheetView showGridLines="0" workbookViewId="0">
      <pane ySplit="2" topLeftCell="A3" activePane="bottomLeft" state="frozen"/>
      <selection pane="bottomLeft" sqref="A1:XFD1"/>
    </sheetView>
  </sheetViews>
  <sheetFormatPr defaultColWidth="0" defaultRowHeight="16.5" zeroHeight="1" x14ac:dyDescent="0.3"/>
  <cols>
    <col min="1" max="1" width="8" style="33" customWidth="1"/>
    <col min="2" max="2" width="12" style="33" customWidth="1"/>
    <col min="3" max="3" width="10" style="33" customWidth="1"/>
    <col min="4" max="4" width="45" style="33" customWidth="1"/>
    <col min="5" max="5" width="69.125" style="33" customWidth="1"/>
    <col min="6" max="6" width="20" style="33" customWidth="1"/>
    <col min="7" max="16384" width="9" style="32" hidden="1"/>
  </cols>
  <sheetData>
    <row r="1" spans="1:6" ht="30" customHeight="1" x14ac:dyDescent="0.5">
      <c r="A1" s="117" t="s">
        <v>164</v>
      </c>
      <c r="B1" s="118"/>
      <c r="C1" s="118"/>
      <c r="D1" s="118"/>
      <c r="E1" s="118"/>
      <c r="F1" s="118"/>
    </row>
    <row r="2" spans="1:6" ht="30" customHeight="1" x14ac:dyDescent="0.3">
      <c r="A2" s="34" t="s">
        <v>163</v>
      </c>
      <c r="B2" s="34" t="s">
        <v>162</v>
      </c>
      <c r="C2" s="34" t="s">
        <v>161</v>
      </c>
      <c r="D2" s="34" t="s">
        <v>170</v>
      </c>
      <c r="E2" s="34" t="s">
        <v>171</v>
      </c>
      <c r="F2" s="34" t="s">
        <v>142</v>
      </c>
    </row>
    <row r="3" spans="1:6" ht="67.5" x14ac:dyDescent="0.3">
      <c r="A3" s="48" t="s">
        <v>169</v>
      </c>
      <c r="B3" s="49">
        <v>2026.03</v>
      </c>
      <c r="C3" s="49" t="s">
        <v>160</v>
      </c>
      <c r="D3" s="49" t="s">
        <v>172</v>
      </c>
      <c r="E3" s="50" t="s">
        <v>174</v>
      </c>
      <c r="F3" s="51" t="s">
        <v>173</v>
      </c>
    </row>
    <row r="4" spans="1:6" x14ac:dyDescent="0.3">
      <c r="A4" s="23"/>
      <c r="B4" s="23"/>
      <c r="C4" s="23"/>
      <c r="D4" s="23"/>
      <c r="E4" s="23"/>
      <c r="F4" s="23"/>
    </row>
    <row r="5" spans="1:6" x14ac:dyDescent="0.3">
      <c r="A5" s="23"/>
      <c r="B5" s="23"/>
      <c r="C5" s="23"/>
      <c r="D5" s="23"/>
      <c r="E5" s="23"/>
      <c r="F5" s="23"/>
    </row>
    <row r="6" spans="1:6" x14ac:dyDescent="0.3">
      <c r="A6" s="23"/>
      <c r="B6" s="23"/>
      <c r="C6" s="23"/>
      <c r="D6" s="23"/>
      <c r="E6" s="23"/>
      <c r="F6" s="23"/>
    </row>
    <row r="7" spans="1:6" x14ac:dyDescent="0.3">
      <c r="A7" s="23"/>
      <c r="B7" s="23"/>
      <c r="C7" s="23"/>
      <c r="D7" s="23"/>
      <c r="E7" s="23"/>
      <c r="F7" s="23"/>
    </row>
    <row r="8" spans="1:6" x14ac:dyDescent="0.3">
      <c r="A8" s="23"/>
      <c r="B8" s="23"/>
      <c r="C8" s="23"/>
      <c r="D8" s="23"/>
      <c r="E8" s="23"/>
      <c r="F8" s="23"/>
    </row>
    <row r="9" spans="1:6" x14ac:dyDescent="0.3">
      <c r="A9" s="23"/>
      <c r="B9" s="23"/>
      <c r="C9" s="23"/>
      <c r="D9" s="23"/>
      <c r="E9" s="23"/>
      <c r="F9" s="23"/>
    </row>
    <row r="10" spans="1:6" x14ac:dyDescent="0.3">
      <c r="A10" s="23"/>
      <c r="B10" s="23"/>
      <c r="C10" s="23"/>
      <c r="D10" s="23"/>
      <c r="E10" s="23"/>
      <c r="F10" s="23"/>
    </row>
    <row r="11" spans="1:6" x14ac:dyDescent="0.3">
      <c r="A11" s="23"/>
      <c r="B11" s="23"/>
      <c r="C11" s="23"/>
      <c r="D11" s="23"/>
      <c r="E11" s="23"/>
      <c r="F11" s="23"/>
    </row>
    <row r="12" spans="1:6" x14ac:dyDescent="0.3">
      <c r="A12" s="23"/>
      <c r="B12" s="23"/>
      <c r="C12" s="23"/>
      <c r="D12" s="23"/>
      <c r="E12" s="23"/>
      <c r="F12" s="23"/>
    </row>
    <row r="13" spans="1:6" x14ac:dyDescent="0.3">
      <c r="A13" s="23"/>
      <c r="B13" s="23"/>
      <c r="C13" s="23"/>
      <c r="D13" s="23"/>
      <c r="E13" s="23"/>
      <c r="F13" s="23"/>
    </row>
    <row r="14" spans="1:6" x14ac:dyDescent="0.3">
      <c r="A14" s="23"/>
      <c r="B14" s="23"/>
      <c r="C14" s="23"/>
      <c r="D14" s="23"/>
      <c r="E14" s="23"/>
      <c r="F14" s="23"/>
    </row>
    <row r="15" spans="1:6" x14ac:dyDescent="0.3">
      <c r="A15" s="23"/>
      <c r="B15" s="23"/>
      <c r="C15" s="23"/>
      <c r="D15" s="23"/>
      <c r="E15" s="23"/>
      <c r="F15" s="23"/>
    </row>
    <row r="16" spans="1:6" x14ac:dyDescent="0.3">
      <c r="A16" s="23"/>
      <c r="B16" s="23"/>
      <c r="C16" s="23"/>
      <c r="D16" s="23"/>
      <c r="E16" s="23"/>
      <c r="F16" s="23"/>
    </row>
    <row r="17" spans="1:6" x14ac:dyDescent="0.3">
      <c r="A17" s="23"/>
      <c r="B17" s="23"/>
      <c r="C17" s="23"/>
      <c r="D17" s="23"/>
      <c r="E17" s="23"/>
      <c r="F17" s="23"/>
    </row>
    <row r="18" spans="1:6" x14ac:dyDescent="0.3">
      <c r="A18" s="23"/>
      <c r="B18" s="23"/>
      <c r="C18" s="23"/>
      <c r="D18" s="23"/>
      <c r="E18" s="23"/>
      <c r="F18" s="23"/>
    </row>
    <row r="19" spans="1:6" x14ac:dyDescent="0.3">
      <c r="A19" s="23"/>
      <c r="B19" s="23"/>
      <c r="C19" s="23"/>
      <c r="D19" s="23"/>
      <c r="E19" s="23"/>
      <c r="F19" s="23"/>
    </row>
    <row r="20" spans="1:6" x14ac:dyDescent="0.3">
      <c r="A20" s="23"/>
      <c r="B20" s="23"/>
      <c r="C20" s="23"/>
      <c r="D20" s="23"/>
      <c r="E20" s="23"/>
      <c r="F20" s="23"/>
    </row>
    <row r="21" spans="1:6" x14ac:dyDescent="0.3">
      <c r="A21" s="23"/>
      <c r="B21" s="23"/>
      <c r="C21" s="23"/>
      <c r="D21" s="23"/>
      <c r="E21" s="23"/>
      <c r="F21" s="23"/>
    </row>
    <row r="22" spans="1:6" x14ac:dyDescent="0.3">
      <c r="A22" s="23"/>
      <c r="B22" s="23"/>
      <c r="C22" s="23"/>
      <c r="D22" s="23"/>
      <c r="E22" s="23"/>
      <c r="F22" s="23"/>
    </row>
  </sheetData>
  <mergeCells count="1">
    <mergeCell ref="A1:F1"/>
  </mergeCells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점검 체크리스트</vt:lpstr>
      <vt:lpstr>점검 요약</vt:lpstr>
      <vt:lpstr>설계 요약</vt:lpstr>
      <vt:lpstr>버전 이력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2026-03-20T09:23:29Z</dcterms:created>
  <dcterms:modified xsi:type="dcterms:W3CDTF">2026-04-15T11:20:01Z</dcterms:modified>
</cp:coreProperties>
</file>